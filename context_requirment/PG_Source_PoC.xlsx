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8C237341-EFA5-4ABE-B69D-C33F020F1F3C}" xr6:coauthVersionLast="47" xr6:coauthVersionMax="47" xr10:uidLastSave="{00000000-0000-0000-0000-000000000000}"/>
  <bookViews>
    <workbookView xWindow="0" yWindow="0" windowWidth="0" windowHeight="0" firstSheet="8" activeTab="8" xr2:uid="{00000000-000D-0000-FFFF-FFFF00000000}"/>
  </bookViews>
  <sheets>
    <sheet name="Phan_Cong_Task" sheetId="1" r:id="rId1"/>
    <sheet name="Tham khảo Interface accouting a" sheetId="2" r:id="rId2"/>
    <sheet name="Job_dependence" sheetId="3" r:id="rId3"/>
    <sheet name="Map_SRC2TRG" sheetId="4" r:id="rId4"/>
    <sheet name="DDL" sheetId="5" r:id="rId5"/>
    <sheet name="Arrangement Delinquency Summary" sheetId="6" r:id="rId6"/>
    <sheet name="Arrangement Turnover Summary" sheetId="7" r:id="rId7"/>
    <sheet name="Asset Arrangement Interest Summ" sheetId="8" r:id="rId8"/>
    <sheet name="Arrangement Activity Schedule I" sheetId="9" r:id="rId9"/>
    <sheet name="Interface Customer" sheetId="11" r:id="rId10"/>
    <sheet name="Interface Loan Repayment Schedu" sheetId="10" r:id="rId11"/>
    <sheet name="Interface Loan Arrangement" sheetId="12" r:id="rId12"/>
    <sheet name="Interface Loan Disbursement" sheetId="13" r:id="rId13"/>
    <sheet name="Customer" sheetId="14" r:id="rId14"/>
    <sheet name="Posting Entry" sheetId="15" r:id="rId15"/>
    <sheet name="Exchange Rate" sheetId="16" r:id="rId16"/>
    <sheet name="Dimension Loan Arrangement" sheetId="17" r:id="rId17"/>
    <sheet name="Dimension Organization Unit" sheetId="18" r:id="rId18"/>
    <sheet name="Dimension Limit" sheetId="19" r:id="rId19"/>
    <sheet name="Dimension Currency" sheetId="20" r:id="rId20"/>
    <sheet name="Dimension Loan Restructure Type" sheetId="21" r:id="rId21"/>
    <sheet name="Dimension Customer" sheetId="22" r:id="rId22"/>
    <sheet name="Dimension Financial Status" sheetId="23" r:id="rId23"/>
    <sheet name="Dimension Product" sheetId="24" r:id="rId24"/>
    <sheet name="Fact Loan Arrangement" sheetId="25" r:id="rId25"/>
    <sheet name="Classification Value" sheetId="26" r:id="rId26"/>
    <sheet name="Currency " sheetId="27" r:id="rId27"/>
    <sheet name="Limit" sheetId="28" r:id="rId28"/>
    <sheet name="Loan Arrangement" sheetId="29" r:id="rId29"/>
    <sheet name="Loan Arrangement Profile" sheetId="30" r:id="rId30"/>
    <sheet name="Arrangement Balance" sheetId="31" r:id="rId31"/>
    <sheet name="Arrangement Rate History" sheetId="32" r:id="rId32"/>
    <sheet name="Involved Party Alternative Iden" sheetId="33" r:id="rId33"/>
    <sheet name="Involved Party Electronic Addre" sheetId="34" r:id="rId34"/>
    <sheet name="Involved Party Postal Address" sheetId="35" r:id="rId35"/>
    <sheet name="Individual Profile" sheetId="36" r:id="rId36"/>
    <sheet name="Individual Employment Status" sheetId="37" r:id="rId37"/>
    <sheet name="Organization Profile" sheetId="38" r:id="rId38"/>
    <sheet name="Product" sheetId="39" r:id="rId39"/>
    <sheet name="Organization Unit" sheetId="40" r:id="rId40"/>
    <sheet name="Employee" sheetId="41" r:id="rId41"/>
  </sheets>
  <definedNames>
    <definedName name="_xlnm._FilterDatabase" localSheetId="2" hidden="1">Job_dependence!$A$1:$Z$3</definedName>
    <definedName name="_xlnm._FilterDatabase" localSheetId="3" hidden="1">Map_SRC2TRG!$B$1:$B$1000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41" l="1"/>
  <c r="M7" i="41"/>
  <c r="M6" i="41"/>
  <c r="M5" i="41"/>
  <c r="M4" i="41"/>
  <c r="M3" i="41"/>
  <c r="M8" i="40"/>
  <c r="M7" i="40"/>
  <c r="M6" i="40"/>
  <c r="M5" i="40"/>
  <c r="M4" i="40"/>
  <c r="M3" i="40"/>
  <c r="M7" i="39"/>
  <c r="M6" i="39"/>
  <c r="M5" i="39"/>
  <c r="M4" i="39"/>
  <c r="M3" i="39"/>
  <c r="M23" i="38"/>
  <c r="M22" i="38"/>
  <c r="M21" i="38"/>
  <c r="M20" i="38"/>
  <c r="M19" i="38"/>
  <c r="M18" i="38"/>
  <c r="M17" i="38"/>
  <c r="M16" i="38"/>
  <c r="M15" i="38"/>
  <c r="M14" i="38"/>
  <c r="M13" i="38"/>
  <c r="M12" i="38"/>
  <c r="M11" i="38"/>
  <c r="M10" i="38"/>
  <c r="M9" i="38"/>
  <c r="M8" i="38"/>
  <c r="M7" i="38"/>
  <c r="M6" i="38"/>
  <c r="M13" i="37"/>
  <c r="M12" i="37"/>
  <c r="M11" i="37"/>
  <c r="M10" i="37"/>
  <c r="M9" i="37"/>
  <c r="M8" i="37"/>
  <c r="M7" i="37"/>
  <c r="M6" i="37"/>
  <c r="M27" i="36"/>
  <c r="M26" i="36"/>
  <c r="M25" i="36"/>
  <c r="M24" i="36"/>
  <c r="M23" i="36"/>
  <c r="M22" i="36"/>
  <c r="M21" i="36"/>
  <c r="M20" i="36"/>
  <c r="M19" i="36"/>
  <c r="M18" i="36"/>
  <c r="M17" i="36"/>
  <c r="M16" i="36"/>
  <c r="M15" i="36"/>
  <c r="M14" i="36"/>
  <c r="M13" i="36"/>
  <c r="M12" i="36"/>
  <c r="M11" i="36"/>
  <c r="M10" i="36"/>
  <c r="M9" i="36"/>
  <c r="M8" i="36"/>
  <c r="M7" i="36"/>
  <c r="M6" i="36"/>
  <c r="M12" i="35"/>
  <c r="M11" i="35"/>
  <c r="M10" i="35"/>
  <c r="M9" i="35"/>
  <c r="M8" i="35"/>
  <c r="M7" i="35"/>
  <c r="M6" i="35"/>
  <c r="M5" i="35"/>
  <c r="M4" i="35"/>
  <c r="M3" i="35"/>
  <c r="M8" i="34"/>
  <c r="M7" i="34"/>
  <c r="M6" i="34"/>
  <c r="M5" i="34"/>
  <c r="M4" i="34"/>
  <c r="M3" i="34"/>
  <c r="M2" i="34"/>
  <c r="M12" i="33"/>
  <c r="M11" i="33"/>
  <c r="M10" i="33"/>
  <c r="M9" i="33"/>
  <c r="M8" i="33"/>
  <c r="M7" i="33"/>
  <c r="M6" i="33"/>
  <c r="M5" i="33"/>
  <c r="M4" i="33"/>
  <c r="M3" i="33"/>
  <c r="M18" i="32"/>
  <c r="M17" i="32"/>
  <c r="M16" i="32"/>
  <c r="M15" i="32"/>
  <c r="M14" i="32"/>
  <c r="M13" i="32"/>
  <c r="M12" i="32"/>
  <c r="M11" i="32"/>
  <c r="M10" i="32"/>
  <c r="M9" i="32"/>
  <c r="M8" i="32"/>
  <c r="M7" i="32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8" i="31"/>
  <c r="M7" i="31"/>
  <c r="M6" i="31"/>
  <c r="M51" i="30"/>
  <c r="M50" i="30"/>
  <c r="M49" i="30"/>
  <c r="M48" i="30"/>
  <c r="M47" i="30"/>
  <c r="M46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42" i="29"/>
  <c r="M41" i="29"/>
  <c r="M40" i="29"/>
  <c r="M39" i="29"/>
  <c r="M38" i="29"/>
  <c r="M37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9" i="28"/>
  <c r="M8" i="28"/>
  <c r="M7" i="28"/>
  <c r="M6" i="28"/>
  <c r="M13" i="27"/>
  <c r="M12" i="27"/>
  <c r="M11" i="27"/>
  <c r="M10" i="27"/>
  <c r="M9" i="27"/>
  <c r="M8" i="27"/>
  <c r="M7" i="27"/>
  <c r="M6" i="27"/>
  <c r="M13" i="26"/>
  <c r="M12" i="26"/>
  <c r="M11" i="26"/>
  <c r="M10" i="26"/>
  <c r="M8" i="26"/>
  <c r="M7" i="26"/>
  <c r="M6" i="26"/>
  <c r="M45" i="25"/>
  <c r="M44" i="25"/>
  <c r="M43" i="25"/>
  <c r="M42" i="25"/>
  <c r="M41" i="25"/>
  <c r="M40" i="25"/>
  <c r="M39" i="25"/>
  <c r="M38" i="25"/>
  <c r="M37" i="25"/>
  <c r="M36" i="25"/>
  <c r="M35" i="25"/>
  <c r="M33" i="25"/>
  <c r="M32" i="25"/>
  <c r="M31" i="25"/>
  <c r="M30" i="25"/>
  <c r="M29" i="25"/>
  <c r="M28" i="25"/>
  <c r="M27" i="25"/>
  <c r="M26" i="25"/>
  <c r="M25" i="25"/>
  <c r="M24" i="25"/>
  <c r="M10" i="24"/>
  <c r="M9" i="24"/>
  <c r="M8" i="24"/>
  <c r="M7" i="24"/>
  <c r="M10" i="23"/>
  <c r="M9" i="23"/>
  <c r="M8" i="23"/>
  <c r="M7" i="23"/>
  <c r="M14" i="22"/>
  <c r="M13" i="22"/>
  <c r="M12" i="22"/>
  <c r="M11" i="22"/>
  <c r="M10" i="22"/>
  <c r="M9" i="22"/>
  <c r="M8" i="22"/>
  <c r="M10" i="21"/>
  <c r="M9" i="21"/>
  <c r="M8" i="21"/>
  <c r="M7" i="21"/>
  <c r="M10" i="20"/>
  <c r="M9" i="20"/>
  <c r="M8" i="20"/>
  <c r="M7" i="20"/>
  <c r="M6" i="20"/>
  <c r="M9" i="19"/>
  <c r="M8" i="19"/>
  <c r="M7" i="19"/>
  <c r="M6" i="19"/>
  <c r="M10" i="18"/>
  <c r="M9" i="18"/>
  <c r="M8" i="18"/>
  <c r="M7" i="18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13" i="16"/>
  <c r="M12" i="16"/>
  <c r="M11" i="16"/>
  <c r="M10" i="16"/>
  <c r="M9" i="16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O99" i="12"/>
  <c r="O97" i="12"/>
  <c r="O96" i="12"/>
  <c r="O93" i="12"/>
  <c r="O87" i="12"/>
  <c r="O85" i="12"/>
  <c r="O84" i="12"/>
  <c r="O83" i="12"/>
  <c r="O82" i="12"/>
  <c r="O81" i="12"/>
  <c r="O80" i="12"/>
  <c r="O79" i="12"/>
  <c r="O78" i="12"/>
  <c r="O77" i="12"/>
  <c r="O76" i="12"/>
  <c r="O75" i="12"/>
  <c r="O73" i="12"/>
  <c r="O72" i="12"/>
  <c r="O71" i="12"/>
  <c r="O68" i="12"/>
  <c r="O67" i="12"/>
  <c r="O64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49" i="12"/>
  <c r="O48" i="12"/>
  <c r="O45" i="12"/>
  <c r="O43" i="12"/>
  <c r="O37" i="12"/>
  <c r="O36" i="12"/>
  <c r="O35" i="12"/>
  <c r="O34" i="12"/>
  <c r="O31" i="12"/>
  <c r="O30" i="12"/>
  <c r="O28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78" i="11"/>
  <c r="O77" i="11"/>
  <c r="O76" i="11"/>
  <c r="O74" i="11"/>
  <c r="O73" i="11"/>
  <c r="O70" i="11"/>
  <c r="O69" i="11"/>
  <c r="O68" i="11"/>
  <c r="O66" i="11"/>
  <c r="O65" i="11"/>
  <c r="O63" i="11"/>
  <c r="O62" i="11"/>
  <c r="O61" i="11"/>
  <c r="O60" i="11"/>
  <c r="O59" i="11"/>
  <c r="O58" i="11"/>
  <c r="O56" i="11"/>
  <c r="O55" i="11"/>
  <c r="O54" i="11"/>
  <c r="O52" i="11"/>
  <c r="O51" i="11"/>
  <c r="O49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6" i="11"/>
  <c r="O24" i="11"/>
  <c r="O23" i="11"/>
  <c r="O22" i="11"/>
  <c r="O21" i="11"/>
  <c r="O20" i="11"/>
  <c r="O19" i="11"/>
  <c r="O16" i="11"/>
  <c r="O15" i="11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9" i="10"/>
  <c r="O8" i="10"/>
  <c r="L28" i="9"/>
  <c r="L27" i="9"/>
  <c r="L26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M17" i="8"/>
  <c r="M16" i="8"/>
  <c r="M15" i="8"/>
  <c r="M14" i="8"/>
  <c r="M13" i="8"/>
  <c r="M12" i="8"/>
  <c r="M11" i="8"/>
  <c r="M10" i="8"/>
  <c r="M9" i="8"/>
  <c r="M8" i="8"/>
  <c r="M14" i="7"/>
  <c r="M13" i="7"/>
  <c r="M12" i="7"/>
  <c r="M11" i="7"/>
  <c r="M10" i="7"/>
  <c r="M9" i="7"/>
  <c r="M8" i="7"/>
  <c r="M7" i="7"/>
  <c r="M17" i="6"/>
  <c r="M16" i="6"/>
  <c r="M15" i="6"/>
  <c r="M14" i="6"/>
  <c r="M13" i="6"/>
  <c r="M12" i="6"/>
  <c r="M11" i="6"/>
  <c r="M10" i="6"/>
  <c r="M9" i="6"/>
  <c r="M8" i="6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4" i="5"/>
  <c r="A3" i="5"/>
  <c r="A2" i="5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<sst xmlns="http://schemas.openxmlformats.org/spreadsheetml/2006/main" count="13979" uniqueCount="2185">
  <si>
    <t>BẢNG PHÂN CÔNG TASK DỰ ÁN TRAINING DATA ENGINEER (AIRFLOW + SPARK SQL)</t>
  </si>
  <si>
    <t>Kiến trúc: Landing -&gt; Bronze -&gt; Silver Temp 1 (Technical Logic) -&gt; Silver Temp 2 (Bank-wised Business Logic) -&gt; Gold (Optional). Chạy đồng thời 100%.</t>
  </si>
  <si>
    <t>STT</t>
  </si>
  <si>
    <t>Người Phụ Trách</t>
  </si>
  <si>
    <t>Track Domain</t>
  </si>
  <si>
    <t>Nghiệp Vụ Phụ Trách</t>
  </si>
  <si>
    <t>Sheet Mapping Excel</t>
  </si>
  <si>
    <t>Bảng Đích Target</t>
  </si>
  <si>
    <t>Phân Tầng Medallion Architecture</t>
  </si>
  <si>
    <t>Nội Dung Logic Convert (Tech vs Business)</t>
  </si>
  <si>
    <t>Phương Pháp Reconciliation Test (Bắt Buộc)</t>
  </si>
  <si>
    <t>Airflow DAG &amp; External SQL File Path</t>
  </si>
  <si>
    <t>Trạng Thái</t>
  </si>
  <si>
    <t>Fresher 1</t>
  </si>
  <si>
    <t>Track 1: Customer Domain</t>
  </si>
  <si>
    <t>Khách hàng &amp; Bên liên quan</t>
  </si>
  <si>
    <t>Interface Customer</t>
  </si>
  <si>
    <t>INF_CST</t>
  </si>
  <si>
    <t>Bronze -&gt; Silver Temp 1</t>
  </si>
  <si>
    <t>Tech: Standardize raw customer data, type casting</t>
  </si>
  <si>
    <t>Recon: Row count &amp; ID Checksum</t>
  </si>
  <si>
    <t>dags/dag_track1_customer.py | sql/silver_temp1/inf_cst.sql</t>
  </si>
  <si>
    <t>Ready</t>
  </si>
  <si>
    <t>Customer</t>
  </si>
  <si>
    <t>CST</t>
  </si>
  <si>
    <t>Silver Temp 2 (Business)</t>
  </si>
  <si>
    <t>Business: fn_hash key generation, master customer status</t>
  </si>
  <si>
    <t>Recon: Minus test (Source vs Target)</t>
  </si>
  <si>
    <t>dags/dag_track1_customer.py | sql/silver_temp2/cst.sql</t>
  </si>
  <si>
    <t>Individual Profile</t>
  </si>
  <si>
    <t>IDV_PRFL</t>
  </si>
  <si>
    <t>Silver Temp 2 (Bank-wised)</t>
  </si>
  <si>
    <t>Business: Bank rule filter KHOI LIKE '%INDIV%', individual profile rules</t>
  </si>
  <si>
    <t>Recon: Row count &amp; Null check</t>
  </si>
  <si>
    <t>dags/dag_track1_customer.py | sql/silver_temp2/idv_prfl.sql</t>
  </si>
  <si>
    <t>Individual Employment Status</t>
  </si>
  <si>
    <t>IDV_EMP_ST</t>
  </si>
  <si>
    <t>Business: Filter individual employment, map job titles</t>
  </si>
  <si>
    <t>Recon: Checksum on CST_ID</t>
  </si>
  <si>
    <t>dags/dag_track1_customer.py | sql/silver_temp2/idv_emp_st.sql</t>
  </si>
  <si>
    <t>Organization Profile</t>
  </si>
  <si>
    <t>ORG_PRFL</t>
  </si>
  <si>
    <t>Business: Filter corporate KHOI NOT LIKE '%INDIV%', company profile rules</t>
  </si>
  <si>
    <t>Recon: Minus test on active ORGs</t>
  </si>
  <si>
    <t>dags/dag_track1_customer.py | sql/silver_temp2/org_prfl.sql</t>
  </si>
  <si>
    <t>Involved Party Alternative Iden</t>
  </si>
  <si>
    <t>IP_ALT_IDENTN</t>
  </si>
  <si>
    <t>Silver Temp 1 (Tech)</t>
  </si>
  <si>
    <t>Tech: Join identity types, hash customer IDs</t>
  </si>
  <si>
    <t>Recon: Row count comparison</t>
  </si>
  <si>
    <t>dags/dag_track1_customer.py | sql/silver_temp1/ip_alt_identn.sql</t>
  </si>
  <si>
    <t>Involved Party Electronic Addre</t>
  </si>
  <si>
    <t>IP_ELC_ADR</t>
  </si>
  <si>
    <t>Tech: Standardize emails &amp; phone formats</t>
  </si>
  <si>
    <t>Recon: Duplicate key test</t>
  </si>
  <si>
    <t>dags/dag_track1_customer.py | sql/silver_temp1/ip_elc_adr.sql</t>
  </si>
  <si>
    <t>Involved Party Postal Address</t>
  </si>
  <si>
    <t>IP_PST_ADR</t>
  </si>
  <si>
    <t>Tech: Standardize postal addresses &amp; location codes</t>
  </si>
  <si>
    <t>Recon: Minus test on address records</t>
  </si>
  <si>
    <t>dags/dag_track1_customer.py | sql/silver_temp1/ip_pst_adr.sql</t>
  </si>
  <si>
    <t>Fresher 2</t>
  </si>
  <si>
    <t>Track 2: Loan Contract Domain</t>
  </si>
  <si>
    <t>Hợp đồng Khoản vay</t>
  </si>
  <si>
    <t>Interface Loan Arrangement</t>
  </si>
  <si>
    <t>INTF_LOAN_AR</t>
  </si>
  <si>
    <t>Tech: Technical join T24 LD &amp; FLEXBO Master, type cast</t>
  </si>
  <si>
    <t>Recon: Row count T24 vs Target</t>
  </si>
  <si>
    <t>dags/dag_track2_loan.py | sql/silver_temp1/intf_loan_ar.sql</t>
  </si>
  <si>
    <t>Loan Arrangement</t>
  </si>
  <si>
    <t>LOAN_AR</t>
  </si>
  <si>
    <t>Business: Bank rules for contract status, AR_ID hash, UDF map</t>
  </si>
  <si>
    <t>Recon: Agg sum (LIMIT_AMT) &amp; Minus test</t>
  </si>
  <si>
    <t>dags/dag_track2_loan.py | sql/silver_temp2/loan_ar.sql</t>
  </si>
  <si>
    <t>Loan Arrangement Profile</t>
  </si>
  <si>
    <t>LOAN_AR_PRFL</t>
  </si>
  <si>
    <t>Business: Bank-wised loan profile attributes, restructure flags</t>
  </si>
  <si>
    <t>Recon: Row count &amp; Duplicate AR_ID</t>
  </si>
  <si>
    <t>dags/dag_track2_loan.py | sql/silver_temp2/loan_ar_prfl.sql</t>
  </si>
  <si>
    <t>Dimension Loan Arrangement</t>
  </si>
  <si>
    <t>DIM_LOAN_AR</t>
  </si>
  <si>
    <t>Silver Temp 2 / Gold (Optional)</t>
  </si>
  <si>
    <t>Tech/Biz: SCD Type 2 dimension, valid_from/valid_to tracking</t>
  </si>
  <si>
    <t>Recon: SCD2 validity overlap check</t>
  </si>
  <si>
    <t>dags/dag_track2_loan.py | sql/silver_temp2/dim_loan_ar.sql</t>
  </si>
  <si>
    <t>Fresher 3</t>
  </si>
  <si>
    <t>Track 3: Master Data &amp; Dims Domain</t>
  </si>
  <si>
    <t>Danh mục &amp; Chiều tra cứu</t>
  </si>
  <si>
    <t xml:space="preserve">Currency </t>
  </si>
  <si>
    <t>CCY</t>
  </si>
  <si>
    <t>Tech: Master currency code clean &amp; ISO mapping</t>
  </si>
  <si>
    <t>Recon: Distinct count CCY_CODE</t>
  </si>
  <si>
    <t>dags/dag_track3_master.py | sql/silver_temp1/ccy.sql</t>
  </si>
  <si>
    <t>Dimension Currency</t>
  </si>
  <si>
    <t>DIM_CCY</t>
  </si>
  <si>
    <t>Biz: Currency dimension SCD2 tracking</t>
  </si>
  <si>
    <t>Recon: Minus test CCY source vs target</t>
  </si>
  <si>
    <t>dags/dag_track3_master.py | sql/silver_temp2/dim_ccy.sql</t>
  </si>
  <si>
    <t>Product</t>
  </si>
  <si>
    <t>PD</t>
  </si>
  <si>
    <t>Tech: Master product code &amp; LOS product mapping</t>
  </si>
  <si>
    <t>dags/dag_track3_master.py | sql/silver_temp1/pd.sql</t>
  </si>
  <si>
    <t>Dimension Product</t>
  </si>
  <si>
    <t>DIM_PD</t>
  </si>
  <si>
    <t>Biz: Product hierarchy &amp; bank product categorization</t>
  </si>
  <si>
    <t>Recon: Unique PD_CODE check</t>
  </si>
  <si>
    <t>dags/dag_track3_master.py | sql/silver_temp2/dim_pd.sql</t>
  </si>
  <si>
    <t>Organization Unit</t>
  </si>
  <si>
    <t>OU</t>
  </si>
  <si>
    <t>Tech: Branch/Company code standardization</t>
  </si>
  <si>
    <t>Recon: Row count branch table</t>
  </si>
  <si>
    <t>dags/dag_track3_master.py | sql/silver_temp1/ou.sql</t>
  </si>
  <si>
    <t>Dimension Organization Unit</t>
  </si>
  <si>
    <t>DIM_OU</t>
  </si>
  <si>
    <t>Biz: Org hierarchy &amp; regional grouping rules</t>
  </si>
  <si>
    <t>Recon: Minus test OU master</t>
  </si>
  <si>
    <t>dags/dag_track3_master.py | sql/silver_temp2/dim_ou.sql</t>
  </si>
  <si>
    <t>Employee</t>
  </si>
  <si>
    <t>EMPE</t>
  </si>
  <si>
    <t>Tech: Officer ID hash &amp; dept officer map</t>
  </si>
  <si>
    <t>Recon: Distinct EMPE_ID count</t>
  </si>
  <si>
    <t>dags/dag_track3_master.py | sql/silver_temp1/empe.sql</t>
  </si>
  <si>
    <t>Limit</t>
  </si>
  <si>
    <t>LMT</t>
  </si>
  <si>
    <t>Tech: Limit reference mapping &amp; hash key</t>
  </si>
  <si>
    <t>Recon: Agg sum (LIMIT_AMOUNT)</t>
  </si>
  <si>
    <t>dags/dag_track3_master.py | sql/silver_temp1/lmt.sql</t>
  </si>
  <si>
    <t>Dimension Limit</t>
  </si>
  <si>
    <t>DIM_LMT</t>
  </si>
  <si>
    <t>Biz: Limit dimension SCD2 &amp; approval levels</t>
  </si>
  <si>
    <t>Recon: Unique LMT_ID check</t>
  </si>
  <si>
    <t>dags/dag_track3_master.py | sql/silver_temp2/dim_lmt.sql</t>
  </si>
  <si>
    <t>Classification Value</t>
  </si>
  <si>
    <t>CV</t>
  </si>
  <si>
    <t>Tech: Classification lookup code translation</t>
  </si>
  <si>
    <t>Recon: Row count CV lookup</t>
  </si>
  <si>
    <t>dags/dag_track3_master.py | sql/silver_temp1/cv.sql</t>
  </si>
  <si>
    <t>Dimension Loan Restructure Type</t>
  </si>
  <si>
    <t>DIM_RSTC_TP</t>
  </si>
  <si>
    <t>Biz: Debt restructure classification rules (TT01/TT03/TT14)</t>
  </si>
  <si>
    <t>Recon: Minus test restructure codes</t>
  </si>
  <si>
    <t>dags/dag_track3_master.py | sql/silver_temp2/dim_rstc_tp.sql</t>
  </si>
  <si>
    <t>Dimension Financial Status</t>
  </si>
  <si>
    <t>DIM_FNC_ST</t>
  </si>
  <si>
    <t>Biz: Debt group classification 1-5 (TT11/TT02 rules)</t>
  </si>
  <si>
    <t>Recon: Checksum debt group values</t>
  </si>
  <si>
    <t>dags/dag_track3_master.py | sql/silver_temp2/dim_fnc_st.sql</t>
  </si>
  <si>
    <t>Fresher 4</t>
  </si>
  <si>
    <t>Track 4: Disbursement &amp; Schedule Domain</t>
  </si>
  <si>
    <t>Giải ngân &amp; Lịch trả nợ</t>
  </si>
  <si>
    <t>Interface Loan Disbursement</t>
  </si>
  <si>
    <t>INTF_LOAN_DSBR</t>
  </si>
  <si>
    <t>Tech: Technical join disbursement events &amp; officer codes</t>
  </si>
  <si>
    <t>Recon: Agg sum (DISB_AMT)</t>
  </si>
  <si>
    <t>dags/dag_track4_schedule.py | sql/silver_temp1/intf_loan_dsbr.sql</t>
  </si>
  <si>
    <t>Interface Loan Repayment Schedu</t>
  </si>
  <si>
    <t>INTF_LOAN_REPYMT_SHD</t>
  </si>
  <si>
    <t>Tech: Technical join T24 PD multi-value fields &amp; schedule dates</t>
  </si>
  <si>
    <t>Recon: Row count schedule items</t>
  </si>
  <si>
    <t>dags/dag_track4_schedule.py | sql/silver_temp1/intf_repymt_shd.sql</t>
  </si>
  <si>
    <t>Arrangement Activity Schedule I</t>
  </si>
  <si>
    <t>AR_AVY_SHD_ITM</t>
  </si>
  <si>
    <t>Business: Bank rules for repayment schedule calculation &amp; interest due</t>
  </si>
  <si>
    <t>Recon: Agg sum (DUE_AMT, PAID_AMT) &amp; Minus test</t>
  </si>
  <si>
    <t>dags/dag_track4_schedule.py | sql/silver_temp2/ar_avy_shd_itm.sql</t>
  </si>
  <si>
    <t>Map_SRC2TRG (sk_lich_tra_no)</t>
  </si>
  <si>
    <t>sk_lich_tra_no</t>
  </si>
  <si>
    <t>Tech: Multi-value expansion for T24 PD_PAYMENT_DUE_HIS</t>
  </si>
  <si>
    <t>Recon: Row count expansion check</t>
  </si>
  <si>
    <t>dags/dag_track4_schedule.py | sql/silver_temp1/sk_lich_tra_no.sql</t>
  </si>
  <si>
    <t>Map_SRC2TRG (Saoke_GIAINGAN)</t>
  </si>
  <si>
    <t>Saoke_GIAINGAN</t>
  </si>
  <si>
    <t>Business: Disbursement statement aggregation &amp; bank voucher rules</t>
  </si>
  <si>
    <t>Recon: Checksum total disbursed amount</t>
  </si>
  <si>
    <t>dags/dag_track4_schedule.py | sql/silver_temp2/saoke_giaingan.sql</t>
  </si>
  <si>
    <t>Fresher 5</t>
  </si>
  <si>
    <t>Track 5: Accounting &amp; Posting Domain</t>
  </si>
  <si>
    <t>Hạch toán &amp; Giao dịch</t>
  </si>
  <si>
    <t>Exchange Rate</t>
  </si>
  <si>
    <t>EXG_RATE</t>
  </si>
  <si>
    <t>Tech: Technical rank window func to get latest exchange rates</t>
  </si>
  <si>
    <t>Recon: Minus test Currency vs Exchange Rate</t>
  </si>
  <si>
    <t>dags/dag_track5_accounting.py | sql/silver_temp1/exg_rate.sql</t>
  </si>
  <si>
    <t>Track 5: Accounting &amp; Transactions</t>
  </si>
  <si>
    <t>Posting Entry</t>
  </si>
  <si>
    <t>PST_ENTR</t>
  </si>
  <si>
    <t>Business: Parsing contract_id from OUR_REFERENCE, LCY/FCY conversion rules</t>
  </si>
  <si>
    <t>Recon: Agg sum (AMOUNT_LCY, AMOUNT_FCY) &amp; Minus test</t>
  </si>
  <si>
    <t>dags/dag_track5_accounting.py | sql/silver_temp2/pst_entr.sql</t>
  </si>
  <si>
    <t>Map_SRC2TRG (SAOKE_TINDUNG)</t>
  </si>
  <si>
    <t>SAOKE_TINDUNG</t>
  </si>
  <si>
    <t>Business: Credit statement journal entries &amp; transaction codes</t>
  </si>
  <si>
    <t>Recon: Checksum debit/credit totals</t>
  </si>
  <si>
    <t>dags/dag_track5_accounting.py | sql/silver_temp2/saoke_tindung.sql</t>
  </si>
  <si>
    <t>Map_SRC2TRG (CUST_INFO_DAILY)</t>
  </si>
  <si>
    <t>CUST_INFO_DAILY</t>
  </si>
  <si>
    <t>Tech: Daily customer financial snapshot join</t>
  </si>
  <si>
    <t>Recon: Row count daily snapshot</t>
  </si>
  <si>
    <t>dags/dag_track5_accounting.py | sql/silver_temp1/cust_info_daily.sql</t>
  </si>
  <si>
    <t>Fresher 6</t>
  </si>
  <si>
    <t>Track 6: Balance &amp; Summaries Domain</t>
  </si>
  <si>
    <t>Số dư, Doanh số &amp; Quá hạn</t>
  </si>
  <si>
    <t>Arrangement Balance</t>
  </si>
  <si>
    <t>AR_BAL</t>
  </si>
  <si>
    <t>Business: SAOKE_CRB balance snapshot, receivable/payable rules</t>
  </si>
  <si>
    <t>Recon: Agg sum (RCVB_AMT_LCY) &amp; Minus test</t>
  </si>
  <si>
    <t>dags/dag_track6_summary.py | sql/silver_temp2/ar_bal.sql</t>
  </si>
  <si>
    <t>Arrangement Rate History</t>
  </si>
  <si>
    <t>AR_RATE_HIST</t>
  </si>
  <si>
    <t>Tech: Interest rate history change tracking &amp; effective dates</t>
  </si>
  <si>
    <t>Recon: Row count rate changes</t>
  </si>
  <si>
    <t>dags/dag_track6_summary.py | sql/silver_temp1/ar_rate_hist.sql</t>
  </si>
  <si>
    <t>Arrangement Delinquency Summary</t>
  </si>
  <si>
    <t>AR_DLQ_SMY</t>
  </si>
  <si>
    <t>Business: Overdue days calculation, DPD bucket rules (1-30, 31-60...)</t>
  </si>
  <si>
    <t>Recon: Checksum overdue balances per DPD bucket</t>
  </si>
  <si>
    <t>dags/dag_track6_summary.py | sql/silver_temp2/ar_dlq_smy.sql</t>
  </si>
  <si>
    <t>Arrangement Turnover Summary</t>
  </si>
  <si>
    <t>AR_TVR_SMY</t>
  </si>
  <si>
    <t>Business: Monthly debit/credit turnover aggregation per contract</t>
  </si>
  <si>
    <t>Recon: Agg sum (TVR_AMT_LCY) &amp; Minus test</t>
  </si>
  <si>
    <t>dags/dag_track6_summary.py | sql/silver_temp2/ar_tvr_smy.sql</t>
  </si>
  <si>
    <t>Asset Arrangement Interest Summ</t>
  </si>
  <si>
    <t>AST_AR_INT_SMY</t>
  </si>
  <si>
    <t>Business: Accrued vs collected interest summary rules</t>
  </si>
  <si>
    <t>Recon: Agg sum (TOT_ACR_INT_AMT_FCY)</t>
  </si>
  <si>
    <t>dags/dag_track6_summary.py | sql/silver_temp2/ast_ar_int_smy.sql</t>
  </si>
  <si>
    <t>Fresher 7</t>
  </si>
  <si>
    <t>Track 7: Data Mart &amp; Star Schema Domain</t>
  </si>
  <si>
    <t>Star Schema &amp; Data Mart</t>
  </si>
  <si>
    <t>Dimension Customer</t>
  </si>
  <si>
    <t>DIM_CST</t>
  </si>
  <si>
    <t>Gold / Mart (Optional)</t>
  </si>
  <si>
    <t>Business: Consolidated customer dimension joining IDV_PRFL &amp; ORG_PRFL</t>
  </si>
  <si>
    <t>Recon: Minus test (CST vs DIM_CST)</t>
  </si>
  <si>
    <t>dags/dag_track7_datamart.py | sql/gold/dim_cst.sql</t>
  </si>
  <si>
    <t>Fact Loan Arrangement</t>
  </si>
  <si>
    <t>FCT_LOAN_AR</t>
  </si>
  <si>
    <t>Business: Central Fact Loan Arrangement snapshot joining 18 dimensions/summaries</t>
  </si>
  <si>
    <t>Recon: Agg sum (OUTSTANDING_BAL) &amp; FK referential integrity</t>
  </si>
  <si>
    <t>dags/dag_track7_datamart.py | sql/gold/fct_loan_ar.sql</t>
  </si>
  <si>
    <t>Interface Name</t>
  </si>
  <si>
    <t>Column Name</t>
  </si>
  <si>
    <t>Ý nghĩa</t>
  </si>
  <si>
    <t>LOV Column</t>
  </si>
  <si>
    <t>INTF_ACG_AR</t>
  </si>
  <si>
    <t>CDR_DT</t>
  </si>
  <si>
    <t>Ngày dữ liệu</t>
  </si>
  <si>
    <t>AC_NBR</t>
  </si>
  <si>
    <t>Mã hợp đồng</t>
  </si>
  <si>
    <t>ACG_STC_ITM_CODE</t>
  </si>
  <si>
    <t>Mã GL</t>
  </si>
  <si>
    <t>LOV_GL.GL_CODE</t>
  </si>
  <si>
    <t>CST_CODE</t>
  </si>
  <si>
    <t>Mã khách hàng</t>
  </si>
  <si>
    <t>IDY_CODE</t>
  </si>
  <si>
    <t>Mã ngành nghề kinh doanh</t>
  </si>
  <si>
    <t>LOV_IDY.IDY_CODE</t>
  </si>
  <si>
    <t>BR_CODE</t>
  </si>
  <si>
    <t>Mã chi nhánh</t>
  </si>
  <si>
    <t>LOV_BR_INFO.BR_NBR</t>
  </si>
  <si>
    <t>IDY_PPS_CODE</t>
  </si>
  <si>
    <t>Mã mục đích ngành nghề kinh doanh</t>
  </si>
  <si>
    <t>LOV_PPS.PPS_CODE</t>
  </si>
  <si>
    <t>CGY_CODE</t>
  </si>
  <si>
    <t>Mã category</t>
  </si>
  <si>
    <t>LOV_CGY.CGY_CODE</t>
  </si>
  <si>
    <t>TERM_CODE</t>
  </si>
  <si>
    <t>Mã kì hạn</t>
  </si>
  <si>
    <t>LOV_TERM_CODE.TERM_CODE</t>
  </si>
  <si>
    <t>CST_CLSS_CODE</t>
  </si>
  <si>
    <t>Nhóm nợ khách hàng theo VPB</t>
  </si>
  <si>
    <t>LOV_CST_CLSS.CST_CLSS</t>
  </si>
  <si>
    <t>CST_CLSS_CIC_CODE</t>
  </si>
  <si>
    <t>Nhóm nợ khách hàng theo CIC</t>
  </si>
  <si>
    <t>SCTR_CODE</t>
  </si>
  <si>
    <t>Mã thành phần kinh tế</t>
  </si>
  <si>
    <t>LOV_SCTR.SCTR_CODE</t>
  </si>
  <si>
    <t>SEG_CODE</t>
  </si>
  <si>
    <t>Mã phân khúc khách hàng</t>
  </si>
  <si>
    <t>LOV_SEG.SEG_CODE</t>
  </si>
  <si>
    <t>CCY_CODE</t>
  </si>
  <si>
    <t>Loại tiền</t>
  </si>
  <si>
    <t>LOV_CCY.CCY_CODE</t>
  </si>
  <si>
    <t>PD_CODE</t>
  </si>
  <si>
    <t>Mã phân nhóm sản phẩm trên T24</t>
  </si>
  <si>
    <t>LOV_PD.PD_CODE</t>
  </si>
  <si>
    <t>CLS_BAL_USD</t>
  </si>
  <si>
    <t>Dư nợ quy USD</t>
  </si>
  <si>
    <t>SCR_SBV_CODE</t>
  </si>
  <si>
    <t>Mã bảo mật SBV</t>
  </si>
  <si>
    <t>LOV_SCR_TP.SCR_TP_CODE</t>
  </si>
  <si>
    <t>GNL_PRVN_AMT_LCY</t>
  </si>
  <si>
    <t>Giá trị dự phòng chung quy đổi VND</t>
  </si>
  <si>
    <t>TERM_TO_DUE_DT_CODE</t>
  </si>
  <si>
    <t>Kỳ hạn</t>
  </si>
  <si>
    <t>CLS_BAL_FCY</t>
  </si>
  <si>
    <t>Dư nợ nguyên tệ</t>
  </si>
  <si>
    <t>SPF_PRVN_AMT_LCY</t>
  </si>
  <si>
    <t>Dự phòng cụ thể</t>
  </si>
  <si>
    <t>CLS_BAL_LCY</t>
  </si>
  <si>
    <t>Dư nợ quy đổi (VND)</t>
  </si>
  <si>
    <t>NEW_BAL_FCY</t>
  </si>
  <si>
    <t>Dư nợ phát sinh mới nguyên tệ</t>
  </si>
  <si>
    <t>NBR_OF_ODUE_DYS</t>
  </si>
  <si>
    <t>Số ngày quá hạn</t>
  </si>
  <si>
    <t>DCN_AND_ADL_AMT_ALCT</t>
  </si>
  <si>
    <t>Phụ trội triết khấu</t>
  </si>
  <si>
    <t>TXN_ON_DAY_F</t>
  </si>
  <si>
    <t>Cờ đánh dấu giao dịch trong ngày</t>
  </si>
  <si>
    <t>Y/N</t>
  </si>
  <si>
    <t>PRVN_AMT_USING</t>
  </si>
  <si>
    <t>Số tiền dự phòng sử dụng</t>
  </si>
  <si>
    <t>CLT_TP_CODE</t>
  </si>
  <si>
    <t>Mã loại tài sản đảm bảo</t>
  </si>
  <si>
    <t>Dữ liệu đang null toàn bộ</t>
  </si>
  <si>
    <t>SRC_STM_CODE</t>
  </si>
  <si>
    <t>Nguồn dữ liệu</t>
  </si>
  <si>
    <t>CST_RSDNC_CODE</t>
  </si>
  <si>
    <t>Mã quốc gia ứng với khách hàng trên T24</t>
  </si>
  <si>
    <t>LOV_CTY.VPB_CTY_CODE</t>
  </si>
  <si>
    <t>SUB_CGY_CODE</t>
  </si>
  <si>
    <t>Mã sub Category</t>
  </si>
  <si>
    <t>LOV_SUB_CGY.CGY_CODE</t>
  </si>
  <si>
    <t>NEW_BAL_LCY</t>
  </si>
  <si>
    <t>Dư nợ phát sinh mới quy đổi VND</t>
  </si>
  <si>
    <t>ACR_INT_AMT_FCY_MTD</t>
  </si>
  <si>
    <t>Lũy kế tháng tiền lãi nguyên tệ</t>
  </si>
  <si>
    <t>ACR_INT_AMT_LCY_MTD</t>
  </si>
  <si>
    <t>Lũy kế tháng tiền lãi quy đổi VND</t>
  </si>
  <si>
    <t>SRO_CODE</t>
  </si>
  <si>
    <t>Kịch bản vận hành</t>
  </si>
  <si>
    <t>LOV_SRO.SRO_CODE</t>
  </si>
  <si>
    <t>NEW_BAD_DEB_AMT</t>
  </si>
  <si>
    <t>Nợ xấu phát sinh</t>
  </si>
  <si>
    <t>CLT_AMT</t>
  </si>
  <si>
    <t>Giá trị tài sản đảm bảo</t>
  </si>
  <si>
    <t>SCR_TERM_CODE</t>
  </si>
  <si>
    <t>LOV_TERM_GRP_2.TERM_GRP_CODE_LV2</t>
  </si>
  <si>
    <t>LISTED</t>
  </si>
  <si>
    <t>đánh dấu niêm yết</t>
  </si>
  <si>
    <t>ORG_IDY_PPS_CODE</t>
  </si>
  <si>
    <t>Mã mục đích ngành ngh kinh doanh của tổ chức</t>
  </si>
  <si>
    <t>LIMIT_AMT</t>
  </si>
  <si>
    <t>Hạn mức</t>
  </si>
  <si>
    <t>SRC_IDY_PPS_CODE</t>
  </si>
  <si>
    <t>Mã mục đích ngành nghề kinh doanh gốc</t>
  </si>
  <si>
    <t>SRC_CTR_TP</t>
  </si>
  <si>
    <t>Loại hợp đồng gốc</t>
  </si>
  <si>
    <t>LOV_SRC_CTR_TP.SRC_CTR_TP</t>
  </si>
  <si>
    <t>CST_SRC_SYNC</t>
  </si>
  <si>
    <t>Hệ thống nguồn của khách hàng</t>
  </si>
  <si>
    <t>INT_RATE</t>
  </si>
  <si>
    <t>Lãi</t>
  </si>
  <si>
    <t>SCR_TP</t>
  </si>
  <si>
    <t>CST_OPN_BR_NBR</t>
  </si>
  <si>
    <t>Chi nhánh mở của khách hàng</t>
  </si>
  <si>
    <t>TD_PRODUCT_CODE</t>
  </si>
  <si>
    <t>LOV_TD_PD.TD_PRODUCT_CODE</t>
  </si>
  <si>
    <t>DCN_AND_ADL_AMT_ALCT_DLY</t>
  </si>
  <si>
    <t>CR_RSDL_AMT_FCY</t>
  </si>
  <si>
    <t>Dư tín dụng nguyên tệ</t>
  </si>
  <si>
    <t>CR_RSDL_AMT_LCY</t>
  </si>
  <si>
    <t>Dư tín dụng quy đổi</t>
  </si>
  <si>
    <t>CR_GRNT_AMT_FCY</t>
  </si>
  <si>
    <t>Cấp tín dụng nguyên tệ</t>
  </si>
  <si>
    <t>CR_GRNT_AMT_LCY</t>
  </si>
  <si>
    <t>Cấp tín dụng quy đổi</t>
  </si>
  <si>
    <t>PRVN_AMT</t>
  </si>
  <si>
    <t>Dự phòng</t>
  </si>
  <si>
    <t>OFF_BSH_INT_AMT_FCY</t>
  </si>
  <si>
    <t>Lãi ngoài bảng cân đối nguyên tệ</t>
  </si>
  <si>
    <t>OFF_BSH_INT_AMT_LCY</t>
  </si>
  <si>
    <t>Lãi ngoài bảng cân đối quy đổi</t>
  </si>
  <si>
    <t>TERM_IN_MTH_CODE</t>
  </si>
  <si>
    <t>TOT_PRICE_SELL</t>
  </si>
  <si>
    <t>Tổng giá bán</t>
  </si>
  <si>
    <t>TOT_PRICE_BUY</t>
  </si>
  <si>
    <t>Tổng giá mua</t>
  </si>
  <si>
    <t>TERM_RSVR_CODE</t>
  </si>
  <si>
    <t>Kỳ hạn dữ trữ</t>
  </si>
  <si>
    <t>AR_LOAN_PPS</t>
  </si>
  <si>
    <t>Mục đích hợp đồng vay</t>
  </si>
  <si>
    <t>PRTLF_CODE</t>
  </si>
  <si>
    <t>Mã danh mục đầu tư</t>
  </si>
  <si>
    <t>LOV_PRTLF_CODE.PRTLF_CODE</t>
  </si>
  <si>
    <t>VPB_LN_PR</t>
  </si>
  <si>
    <t>Mã mục đích vay</t>
  </si>
  <si>
    <t>LOV_VPB_LN_PR.PD_CODE</t>
  </si>
  <si>
    <t>PPS_NAME</t>
  </si>
  <si>
    <t>Mục đích vay</t>
  </si>
  <si>
    <t>LOV_PPS.PPS_NAME</t>
  </si>
  <si>
    <t>GROUP_SP</t>
  </si>
  <si>
    <t>SECURED/UNSECURED</t>
  </si>
  <si>
    <t>SYSTEM_TYPE</t>
  </si>
  <si>
    <t>OBJECT_NAME</t>
  </si>
  <si>
    <t>GRP_OBJ</t>
  </si>
  <si>
    <t>WAITING</t>
  </si>
  <si>
    <t>STATUS</t>
  </si>
  <si>
    <t>SCHEDULE</t>
  </si>
  <si>
    <t>SQL_EXC</t>
  </si>
  <si>
    <t>LAST UPDATE</t>
  </si>
  <si>
    <t>PIC</t>
  </si>
  <si>
    <t>PG_DWH</t>
  </si>
  <si>
    <t>Interface Loan Arrangement ///</t>
  </si>
  <si>
    <t>TRG</t>
  </si>
  <si>
    <t>Source</t>
  </si>
  <si>
    <t>Tables</t>
  </si>
  <si>
    <t>Column</t>
  </si>
  <si>
    <t>EBANKING</t>
  </si>
  <si>
    <t>COL_UDF_VALUE@PGDB</t>
  </si>
  <si>
    <t>COL_REF</t>
  </si>
  <si>
    <t>FUNCTION_CODE</t>
  </si>
  <si>
    <t>UDF_VALUE</t>
  </si>
  <si>
    <t>FLEXBO</t>
  </si>
  <si>
    <t>PGB_CONTRACT_UDF_MAP</t>
  </si>
  <si>
    <t>CONTRACT_REF_NO</t>
  </si>
  <si>
    <t>FIELD_NAME</t>
  </si>
  <si>
    <t>FIELD_VAL</t>
  </si>
  <si>
    <t>PGB_LDTB_CONTRACT_MASTER</t>
  </si>
  <si>
    <t>BOOKING_DATE</t>
  </si>
  <si>
    <t>VERSION_NO</t>
  </si>
  <si>
    <t>PGB_LOS_CONTRACT_FIELDS_TDATE</t>
  </si>
  <si>
    <t>CAN_BO_DE_XUAT_GN</t>
  </si>
  <si>
    <t>CAR_APPLICATION_CODE</t>
  </si>
  <si>
    <t>LOS_CONTRACT_CODE</t>
  </si>
  <si>
    <t>MDVAY_NKT</t>
  </si>
  <si>
    <t>MDVAY_SP</t>
  </si>
  <si>
    <t>MOV_DATE</t>
  </si>
  <si>
    <t>TT_PP_DE_XUAT_GN</t>
  </si>
  <si>
    <t>PGBLD_CONTRACT_UDFIELD_HIST</t>
  </si>
  <si>
    <t>CT_KHUYEN_MAI_CHO_VAY</t>
  </si>
  <si>
    <t>CTKM2</t>
  </si>
  <si>
    <t>PGBLD_RT_CONTRACT_UDFIELD_HIST</t>
  </si>
  <si>
    <t>CO_CAU_NO</t>
  </si>
  <si>
    <t>NGAY_HET_COVID19</t>
  </si>
  <si>
    <t>LEXBO</t>
  </si>
  <si>
    <t>LOS_APP</t>
  </si>
  <si>
    <t>FACILITY@TO_LOS</t>
  </si>
  <si>
    <t>ID</t>
  </si>
  <si>
    <t>PRODUCT_ID</t>
  </si>
  <si>
    <t>LOAN_DISBURSEMENT@TO_LOS</t>
  </si>
  <si>
    <t>AMND_STATE</t>
  </si>
  <si>
    <t>EXT_REF_NO_1</t>
  </si>
  <si>
    <t>FACILITY_ID</t>
  </si>
  <si>
    <t>PRODUCT@TO_LOS</t>
  </si>
  <si>
    <t>PRODUCT_CODE</t>
  </si>
  <si>
    <t>PRODUCT_NAME</t>
  </si>
  <si>
    <t>SMY</t>
  </si>
  <si>
    <t>STMT_DAILY</t>
  </si>
  <si>
    <t>ACCOUNT</t>
  </si>
  <si>
    <t>ACCOUNT_ID</t>
  </si>
  <si>
    <t>ACCOUNT_NUM</t>
  </si>
  <si>
    <t>ACCOUNT_NUMBER</t>
  </si>
  <si>
    <t>ACCOUNTING_DATE</t>
  </si>
  <si>
    <t>ACCT_ID</t>
  </si>
  <si>
    <t>AMOUNT_FCY</t>
  </si>
  <si>
    <t>AMOUNT_LCY</t>
  </si>
  <si>
    <t>BALANCE_TYPE</t>
  </si>
  <si>
    <t>CARD_NUMBER</t>
  </si>
  <si>
    <t>CO_CODE</t>
  </si>
  <si>
    <t>COMMIT_ACTION</t>
  </si>
  <si>
    <t>COMMIT_TS</t>
  </si>
  <si>
    <t>COMPANY_CODE</t>
  </si>
  <si>
    <t>CONSOL_KEY</t>
  </si>
  <si>
    <t>CONTRACT_BAL_ID</t>
  </si>
  <si>
    <t>CRF_PROD_CAT</t>
  </si>
  <si>
    <t>CRF_TYPE</t>
  </si>
  <si>
    <t>CURR_NO</t>
  </si>
  <si>
    <t>CURRENCY</t>
  </si>
  <si>
    <t>CUSTOMER_ID</t>
  </si>
  <si>
    <t>CYCLE_FORWARD</t>
  </si>
  <si>
    <t>DATE_TIME</t>
  </si>
  <si>
    <t>DEPARTMENT_CODE</t>
  </si>
  <si>
    <t>DRAWN_ACCOUNT</t>
  </si>
  <si>
    <t>EXCHANGE_RATE</t>
  </si>
  <si>
    <t>INTERNAL_CATEGORY</t>
  </si>
  <si>
    <t>LOCAL_REF</t>
  </si>
  <si>
    <t>NARRATIVE</t>
  </si>
  <si>
    <t>ORIG_AMOUNT_LCY</t>
  </si>
  <si>
    <t>ORIGINAL_ACCT</t>
  </si>
  <si>
    <t>ORIGINAL_AMOUNT</t>
  </si>
  <si>
    <t>ORIGINAL_CCY</t>
  </si>
  <si>
    <t>ORIGINAL_EXCH_RATE</t>
  </si>
  <si>
    <t>OUR_REFERENCE</t>
  </si>
  <si>
    <t>OUTSTANDING_BAL</t>
  </si>
  <si>
    <t>OVERRIDE</t>
  </si>
  <si>
    <t>PROCESS_FORWARD</t>
  </si>
  <si>
    <t>PROCESSING_DATE</t>
  </si>
  <si>
    <t>PRODUCT_CATEGORY</t>
  </si>
  <si>
    <t>RECID</t>
  </si>
  <si>
    <t>RECORD_STATUS</t>
  </si>
  <si>
    <t>REPAYMENT_AMT</t>
  </si>
  <si>
    <t>REPAYMENT_DATE</t>
  </si>
  <si>
    <t>REPAYMENT_TYPE</t>
  </si>
  <si>
    <t>STMT_ENTRY_ID</t>
  </si>
  <si>
    <t>STMT_NO</t>
  </si>
  <si>
    <t>SUSPENSE_CATEGORY</t>
  </si>
  <si>
    <t>SUSPNSE_VALUE_DATE</t>
  </si>
  <si>
    <t>SYSTEM_ID</t>
  </si>
  <si>
    <t>THEIR_REFERENCE</t>
  </si>
  <si>
    <t>TRANS_REFERENCE</t>
  </si>
  <si>
    <t>TRANSACTION_CODE</t>
  </si>
  <si>
    <t>TXN_DATE</t>
  </si>
  <si>
    <t>VALUE_DATE</t>
  </si>
  <si>
    <t>SOURCE</t>
  </si>
  <si>
    <t>SAOKE_CRB</t>
  </si>
  <si>
    <t>ACC_FCC</t>
  </si>
  <si>
    <t>AMOUNT_CUR</t>
  </si>
  <si>
    <t>APP_CODE</t>
  </si>
  <si>
    <t xml:space="preserve">APP_CODE  </t>
  </si>
  <si>
    <t>APP_ID</t>
  </si>
  <si>
    <t>T24CORE</t>
  </si>
  <si>
    <t>CUSTOMER</t>
  </si>
  <si>
    <t>ASSET_CLASS</t>
  </si>
  <si>
    <t>ASSET_TYPE</t>
  </si>
  <si>
    <t>CATEG_CODE</t>
  </si>
  <si>
    <t xml:space="preserve">CURR </t>
  </si>
  <si>
    <t>CUS_ID</t>
  </si>
  <si>
    <t>DATE</t>
  </si>
  <si>
    <t>LOC_TERM</t>
  </si>
  <si>
    <t>MAT_DATE</t>
  </si>
  <si>
    <t>SBV_CODE</t>
  </si>
  <si>
    <t xml:space="preserve">SUB_PRO </t>
  </si>
  <si>
    <t>VAL_DATE</t>
  </si>
  <si>
    <t>SAOKE_MVMT</t>
  </si>
  <si>
    <t>TRANS_REF</t>
  </si>
  <si>
    <t>COMPANY</t>
  </si>
  <si>
    <t>COMPANY_NAME</t>
  </si>
  <si>
    <t>ACCOUNT_OFFICER</t>
  </si>
  <si>
    <t>ACTIVE_STATUS</t>
  </si>
  <si>
    <t>AML_CHECK</t>
  </si>
  <si>
    <t>AML_RESULT</t>
  </si>
  <si>
    <t xml:space="preserve">BDATE_LEGAL </t>
  </si>
  <si>
    <t>BDAY_DIRECTOR</t>
  </si>
  <si>
    <t xml:space="preserve">BIRTH_INCORP_DATE </t>
  </si>
  <si>
    <t xml:space="preserve">COMPANY_BOOK </t>
  </si>
  <si>
    <t xml:space="preserve">CONTACT_DATE </t>
  </si>
  <si>
    <t>CONTACT_PERSON</t>
  </si>
  <si>
    <t>COUNTRY</t>
  </si>
  <si>
    <t xml:space="preserve">CU_EFF_DATE </t>
  </si>
  <si>
    <t>CUS_IND_PARENT</t>
  </si>
  <si>
    <t>CUSTOMER_STATUS</t>
  </si>
  <si>
    <t>EMAIL_ADDRESS</t>
  </si>
  <si>
    <t>EMPLOYMENT_STATUS</t>
  </si>
  <si>
    <t xml:space="preserve">ESTAB_LIC_CODE </t>
  </si>
  <si>
    <t xml:space="preserve">FFB_TYPE </t>
  </si>
  <si>
    <t>GEN_DIR_PLC</t>
  </si>
  <si>
    <t>HOME_NUMBER</t>
  </si>
  <si>
    <t>INDUSTRY</t>
  </si>
  <si>
    <t>INTERNET_BANKING_SERVICE</t>
  </si>
  <si>
    <t>KHOI</t>
  </si>
  <si>
    <t>KYC_CHANNEL</t>
  </si>
  <si>
    <t>MA_BHXH</t>
  </si>
  <si>
    <t>MAU_HD</t>
  </si>
  <si>
    <t>MB_CR_STT</t>
  </si>
  <si>
    <t>MB_INDUSTRY</t>
  </si>
  <si>
    <t>MB_RM_BANCHEO</t>
  </si>
  <si>
    <t>MOBILE_BANKING_SERVICE</t>
  </si>
  <si>
    <t>MOBILE_NUMBER</t>
  </si>
  <si>
    <t xml:space="preserve">NAT_ID_EXP_DATE </t>
  </si>
  <si>
    <t xml:space="preserve">NAT_ID_ISS_DATE </t>
  </si>
  <si>
    <t>NAT_ID_ISS_PLC</t>
  </si>
  <si>
    <t>NAT_ID_TYPE</t>
  </si>
  <si>
    <t>NATIONAL_ID</t>
  </si>
  <si>
    <t xml:space="preserve">NATIONAL_ID </t>
  </si>
  <si>
    <t>NATIONALITY</t>
  </si>
  <si>
    <t>NET_MONTHLY_IN</t>
  </si>
  <si>
    <t>NO_LIEN_DOI</t>
  </si>
  <si>
    <t>OCCUPATION</t>
  </si>
  <si>
    <t>OPEN_COMPANY</t>
  </si>
  <si>
    <t xml:space="preserve">OPEN_COMPANY </t>
  </si>
  <si>
    <t>PHONE_CONT_PER</t>
  </si>
  <si>
    <t xml:space="preserve">RECID </t>
  </si>
  <si>
    <t>REFERRED_BY</t>
  </si>
  <si>
    <t>RESID_PROVINCE</t>
  </si>
  <si>
    <t>RESIDENCE</t>
  </si>
  <si>
    <t>SECOND_OFFICER</t>
  </si>
  <si>
    <t xml:space="preserve">SECOND_OFFICER </t>
  </si>
  <si>
    <t>SECTOR</t>
  </si>
  <si>
    <t>SHORT_NAME</t>
  </si>
  <si>
    <t>STREET</t>
  </si>
  <si>
    <t>TARGET</t>
  </si>
  <si>
    <t xml:space="preserve">TAX_SERIAL </t>
  </si>
  <si>
    <t xml:space="preserve">VAT_INV_DATE </t>
  </si>
  <si>
    <t xml:space="preserve">VAT_INV_SERIAL </t>
  </si>
  <si>
    <t>VIP_CUSTOMER</t>
  </si>
  <si>
    <t>VN_FULL_NAME</t>
  </si>
  <si>
    <t xml:space="preserve">VN_GENDER </t>
  </si>
  <si>
    <t>VN_STREET</t>
  </si>
  <si>
    <t>VN_TOWN</t>
  </si>
  <si>
    <t>DEPT_ACCT_OFFICER</t>
  </si>
  <si>
    <t>NAME</t>
  </si>
  <si>
    <t>LD_LOANS_AND_DEPOSITS</t>
  </si>
  <si>
    <t>AMOUNT</t>
  </si>
  <si>
    <t>APPROVE_AMOUNT</t>
  </si>
  <si>
    <t>AUTHORISER</t>
  </si>
  <si>
    <t>CATEGORY</t>
  </si>
  <si>
    <t>CRA_LD</t>
  </si>
  <si>
    <t xml:space="preserve">CURR_NO </t>
  </si>
  <si>
    <t>DRAWDOWN_NET_AMT</t>
  </si>
  <si>
    <t>EXCG_RATE</t>
  </si>
  <si>
    <t>FCC_LIMIT</t>
  </si>
  <si>
    <t>FIN_MAT_DATE</t>
  </si>
  <si>
    <t>INPUTTER</t>
  </si>
  <si>
    <t>INT_LIQ_ACCT</t>
  </si>
  <si>
    <t>INT_RATE_TYPE</t>
  </si>
  <si>
    <t>INT_VALUE_DATE</t>
  </si>
  <si>
    <t>INTEREST_RATE</t>
  </si>
  <si>
    <t>INTEREST_SPREAD</t>
  </si>
  <si>
    <t>LIMIT_REFERENCE</t>
  </si>
  <si>
    <t>LOS_FAC_CODE</t>
  </si>
  <si>
    <t>ORIG_VAL_DATE</t>
  </si>
  <si>
    <t>PE_RATE</t>
  </si>
  <si>
    <t>PRIN_LIQ_ACCT</t>
  </si>
  <si>
    <t>PRODUCTGR_CODE</t>
  </si>
  <si>
    <t>PS_RATE</t>
  </si>
  <si>
    <t>REAL_RATE</t>
  </si>
  <si>
    <t>USE_OF_LOAN</t>
  </si>
  <si>
    <t>USE_OF_LOAN_CHA</t>
  </si>
  <si>
    <t>LD_LOANS_AND_DEPOSITS_HIS</t>
  </si>
  <si>
    <t>LD_SCHEDULE_DEFINE_MV</t>
  </si>
  <si>
    <t>CONTRACT_ID</t>
  </si>
  <si>
    <t>PREV_SCHED_DATE</t>
  </si>
  <si>
    <t>MB_MG_SAVING_MULTI</t>
  </si>
  <si>
    <t>LD_ID</t>
  </si>
  <si>
    <t>PD_PAYMENT_DUE</t>
  </si>
  <si>
    <t>CREDIT_STATUS</t>
  </si>
  <si>
    <t>FLAG_STATUS</t>
  </si>
  <si>
    <t>ORIGINAL_MAT</t>
  </si>
  <si>
    <t>PD_TYPE</t>
  </si>
  <si>
    <t>PENALTY_RATE</t>
  </si>
  <si>
    <t>SNQH_CHUYENDOI</t>
  </si>
  <si>
    <t>PD_PAYMENT_DUE_HIS</t>
  </si>
  <si>
    <t>PD_PAYMENT_DUE_HIS_MV</t>
  </si>
  <si>
    <t>FINAL_DUE_DATE</t>
  </si>
  <si>
    <t>PAY_TYPE</t>
  </si>
  <si>
    <t>REPAYMENT_ACCT</t>
  </si>
  <si>
    <t>PD_PAYMENT_DUE_MV</t>
  </si>
  <si>
    <t>PAY_AMT_OUTS</t>
  </si>
  <si>
    <t>PAYMENT_DTE_DUE</t>
  </si>
  <si>
    <t>REPAID_AMT</t>
  </si>
  <si>
    <t>CUSTOMER_TYPE</t>
  </si>
  <si>
    <t>STMT_ENTRY</t>
  </si>
  <si>
    <t>DESCRIPTION</t>
  </si>
  <si>
    <t>USED</t>
  </si>
  <si>
    <t>ENTITY</t>
  </si>
  <si>
    <t>ATTRIBUTE</t>
  </si>
  <si>
    <t>Note</t>
  </si>
  <si>
    <t>Update Date</t>
  </si>
  <si>
    <t>Cột Tham chiếu</t>
  </si>
  <si>
    <t>X</t>
  </si>
  <si>
    <t>Arrangement Code/ Arrangement ID</t>
  </si>
  <si>
    <t>Tuan.Nguyen</t>
  </si>
  <si>
    <t>FUNCTION_CODE = 'CONTRACT_INFOR' thì join qua LD_ để lấy RECID, FUNCTION_CODE = 'LIMIT_INFOR' thì join qua LIMIT lấy RECID, bảng chỉ lọc lấy UDF ID = 'NHANNO_BATBUOC'</t>
  </si>
  <si>
    <t>Mã chức năng</t>
  </si>
  <si>
    <t>Giá trị UDF</t>
  </si>
  <si>
    <t>Mandatory Repayment</t>
  </si>
  <si>
    <t>UDF_ID</t>
  </si>
  <si>
    <t>Mã UDF</t>
  </si>
  <si>
    <t>Mã HĐ tham chiếu</t>
  </si>
  <si>
    <t>Tên trường</t>
  </si>
  <si>
    <t>Giá trị tương ứng với từng trường</t>
  </si>
  <si>
    <t>Number of debt restructurings</t>
  </si>
  <si>
    <t>Security Type</t>
  </si>
  <si>
    <t>Ngày ghi nhận</t>
  </si>
  <si>
    <t>FCC Value Date</t>
  </si>
  <si>
    <t>Mã Hợp đồng</t>
  </si>
  <si>
    <t>Version của bản ghi</t>
  </si>
  <si>
    <t>Cán bộ đề xuất giải ngân</t>
  </si>
  <si>
    <t>Arrangement x Involved Party Relationship</t>
  </si>
  <si>
    <t>Disbursement proposal officer</t>
  </si>
  <si>
    <t>Mã hồ sơ đăng kí vay vốn</t>
  </si>
  <si>
    <t>LOS Application Code</t>
  </si>
  <si>
    <t>Mã hợp đồng giải ngân</t>
  </si>
  <si>
    <t>mã hợp đồng vay</t>
  </si>
  <si>
    <t>LOS Contract Code</t>
  </si>
  <si>
    <t>LOS_CONTRACT_ID</t>
  </si>
  <si>
    <t>mã hồ sơ trên LOS</t>
  </si>
  <si>
    <t>LOS Contract ID</t>
  </si>
  <si>
    <t>Mục đích vay theo ngành kinh tế</t>
  </si>
  <si>
    <t>Arrangement purpose by industry</t>
  </si>
  <si>
    <t>Mục đích vay theo sản phẩm</t>
  </si>
  <si>
    <t>Arrangement Purpose Type Code</t>
  </si>
  <si>
    <t>nvl(tdate, LD)</t>
  </si>
  <si>
    <t>Người đề xuất giải ngân</t>
  </si>
  <si>
    <t>Disbursement Proposal Manager</t>
  </si>
  <si>
    <t>BDS_TT11</t>
  </si>
  <si>
    <t>Phân loại theo thông tư 11</t>
  </si>
  <si>
    <t>SAN_PHAM_CHO_VAY_KHCN</t>
  </si>
  <si>
    <t>Sản phẩm vay KHCN</t>
  </si>
  <si>
    <t>Product Code</t>
  </si>
  <si>
    <t>acc_fcc not null và là khcn thì ưu tiên cái này, sau đó mới đến los, ld</t>
  </si>
  <si>
    <t>BIEN_DO_THAY_DOI_LS_THEO_HDTD</t>
  </si>
  <si>
    <t>Biên độ thay đổi lãi suất</t>
  </si>
  <si>
    <t>Margin Rate</t>
  </si>
  <si>
    <t>SAN_PHAM_CHO_VAY_KHDN</t>
  </si>
  <si>
    <t>Sản phẩm vay KHdn</t>
  </si>
  <si>
    <t>acc_fcc not null và khác khcn thì ưu tiên cái này, sau đó mới đến los, ld</t>
  </si>
  <si>
    <t>CBTD_QL_KHOAN_VAY</t>
  </si>
  <si>
    <t>Management Officer</t>
  </si>
  <si>
    <t>TP_PP_QL_KHOAN_VAY</t>
  </si>
  <si>
    <t>Management Manager</t>
  </si>
  <si>
    <t>CAP_PHE_DUYET_GNTL</t>
  </si>
  <si>
    <t>Approval Authority</t>
  </si>
  <si>
    <t>CO_CAU_NO_MIEN_GIAM_LAI</t>
  </si>
  <si>
    <t>Debt Waiver Flag</t>
  </si>
  <si>
    <t>SO_LAN_CO_CAU</t>
  </si>
  <si>
    <t>Số lần cơ cấu nợ</t>
  </si>
  <si>
    <t>ưu tiên cái này trước UDF_MAP</t>
  </si>
  <si>
    <t>Mã chương trình KM cho vay</t>
  </si>
  <si>
    <t>Promotion Program</t>
  </si>
  <si>
    <t>Mã CTKM2</t>
  </si>
  <si>
    <t>Promotion Program 2</t>
  </si>
  <si>
    <t>Ngày phát sinh</t>
  </si>
  <si>
    <t>Mã sản phẩm</t>
  </si>
  <si>
    <t>bỏ không cần thiết</t>
  </si>
  <si>
    <t>MB_LD_TYPE</t>
  </si>
  <si>
    <t>Bổ sung cho CTKM VÀ CTKM 2</t>
  </si>
  <si>
    <t>Promotion Program / Promotion Program 2</t>
  </si>
  <si>
    <t>Cơ cấu nợ</t>
  </si>
  <si>
    <t>N</t>
  </si>
  <si>
    <t>Debt Restructuring Type Code</t>
  </si>
  <si>
    <t>Ngày hết covid/ Ngày hết hạn cơ cấu</t>
  </si>
  <si>
    <t>Covid19 Restructuring Completion Date</t>
  </si>
  <si>
    <t>Key của bản ghi</t>
  </si>
  <si>
    <t>Trạng thái Hợp đồng</t>
  </si>
  <si>
    <t>Số tham chiếu bên ngoài</t>
  </si>
  <si>
    <t>Mã định danh hạn mức tín dụng</t>
  </si>
  <si>
    <t>Trạng thái tín dụng</t>
  </si>
  <si>
    <t xml:space="preserve">Mã sản phẩm </t>
  </si>
  <si>
    <t>nvl(los, ld)</t>
  </si>
  <si>
    <t>Tên sản phẩm</t>
  </si>
  <si>
    <t>Product Name</t>
  </si>
  <si>
    <t>chưa có mapping</t>
  </si>
  <si>
    <t>Mã hợp đồng FlexCube</t>
  </si>
  <si>
    <t>x</t>
  </si>
  <si>
    <t>Thang.Pham</t>
  </si>
  <si>
    <t>Số tiền dự thu</t>
  </si>
  <si>
    <t>Receivable Amount LCY</t>
  </si>
  <si>
    <t>Dư Nợ quy đổi</t>
  </si>
  <si>
    <t>Closing Balance LCY</t>
  </si>
  <si>
    <t>Mã phân hệ: LD, MD, AC, PD</t>
  </si>
  <si>
    <t>Module Code</t>
  </si>
  <si>
    <t>Arrangement Code, Arrangement Id</t>
  </si>
  <si>
    <t>Loại dư nợ, hạch toán</t>
  </si>
  <si>
    <t>Asset Type Code</t>
  </si>
  <si>
    <t>Mã phân loại sản phẩm</t>
  </si>
  <si>
    <t>Product Category Code</t>
  </si>
  <si>
    <t>Mã chi nhánh hạch toán</t>
  </si>
  <si>
    <t>Organization Unit Code</t>
  </si>
  <si>
    <t>CURR</t>
  </si>
  <si>
    <t>Currency Code</t>
  </si>
  <si>
    <t>Customer Code/ Customer Id</t>
  </si>
  <si>
    <t>Ngày giao dịch YYYYMMDD</t>
  </si>
  <si>
    <t>???</t>
  </si>
  <si>
    <t>Arrangement Term Type Code</t>
  </si>
  <si>
    <t>Ngày đáo hạn hợp đồng</t>
  </si>
  <si>
    <t>Mã hạch toán theo SBV</t>
  </si>
  <si>
    <t>General Ledger Item Code / General Ledger Item Id</t>
  </si>
  <si>
    <t>SUB_PRO</t>
  </si>
  <si>
    <t>Mã sản phẩm con</t>
  </si>
  <si>
    <t>Sub Product Code</t>
  </si>
  <si>
    <t>Ngày giao dịch</t>
  </si>
  <si>
    <t>Calendar Date</t>
  </si>
  <si>
    <t>Ngày hiệu lực hợp đồng</t>
  </si>
  <si>
    <t>minus theo 2 cột sử dụng, không theo txn date</t>
  </si>
  <si>
    <t>Mã tham chiếu giao dịch</t>
  </si>
  <si>
    <t>Ngày thực hiện giao dịch</t>
  </si>
  <si>
    <t>Tên chi nhánh</t>
  </si>
  <si>
    <t>Organization Unit Name</t>
  </si>
  <si>
    <t>Mã nhân viên hạch toán</t>
  </si>
  <si>
    <t>Maker Officer</t>
  </si>
  <si>
    <t>Trạng thái bản ghi</t>
  </si>
  <si>
    <t>Individual Profile / Organization Profile</t>
  </si>
  <si>
    <t>Customer Life Cycle Status Code</t>
  </si>
  <si>
    <t>Liên quan tới hệ thống Phòng Chống rửa tiền</t>
  </si>
  <si>
    <t>AML Check Flag</t>
  </si>
  <si>
    <t>AML Result</t>
  </si>
  <si>
    <t>Nhóm nợ khách hàng Core tính</t>
  </si>
  <si>
    <t>Customer Financial Status Code</t>
  </si>
  <si>
    <t>BDATE_LEGAL</t>
  </si>
  <si>
    <t>Ngày sinh giám đốc công ty</t>
  </si>
  <si>
    <t>BIRTH_INCORP_DATE</t>
  </si>
  <si>
    <t>Ngày thành lập doanh nghiệp</t>
  </si>
  <si>
    <t>Establish Date</t>
  </si>
  <si>
    <t>Mã chi nhánh quản lý khách hàng</t>
  </si>
  <si>
    <t>COMPANY_BOOK</t>
  </si>
  <si>
    <t>Mã chi nhánh mở CIF</t>
  </si>
  <si>
    <t>CONTACT_DATE</t>
  </si>
  <si>
    <t>Ngày khách hàng liên hệ/mở CIF</t>
  </si>
  <si>
    <t>Effective Date</t>
  </si>
  <si>
    <t>Country Name</t>
  </si>
  <si>
    <t>CU_EFF_DATE</t>
  </si>
  <si>
    <t>Mã ngành nghê kinh tế cha</t>
  </si>
  <si>
    <t>Industry LV1 Classification Code</t>
  </si>
  <si>
    <t>Trạng thái hiện tại của khách hàng</t>
  </si>
  <si>
    <t>Customer Status Code</t>
  </si>
  <si>
    <t>Ngày giờ bản ghi nhập liệu</t>
  </si>
  <si>
    <t>Địa chỉ emai</t>
  </si>
  <si>
    <t>Involved Party Electronic Address</t>
  </si>
  <si>
    <t>Electronic Address Value</t>
  </si>
  <si>
    <t>Individual Employment Status Code</t>
  </si>
  <si>
    <t>ESTAB_LIC_CODE</t>
  </si>
  <si>
    <t>FFB_TYPE</t>
  </si>
  <si>
    <t>Số điện thoại nhà tiêng</t>
  </si>
  <si>
    <t xml:space="preserve">Mã ngành nghề đăng ký kinh doanh </t>
  </si>
  <si>
    <t>Dịch vụ Internet banking khách hàng giao tiếp</t>
  </si>
  <si>
    <t>Internet Banking Flag</t>
  </si>
  <si>
    <t>mã Khối quản lý khách hàng</t>
  </si>
  <si>
    <t>Customer Group Code</t>
  </si>
  <si>
    <t>Kênh thực hiện KYC</t>
  </si>
  <si>
    <t>KYC Channel Code</t>
  </si>
  <si>
    <t>Mã bảo hiểm xã hội</t>
  </si>
  <si>
    <t>VSS Code</t>
  </si>
  <si>
    <t>Ngành nghề kinh tế</t>
  </si>
  <si>
    <t>Industry LV2 Classification Code</t>
  </si>
  <si>
    <t>Mã nhân sự bán chéo sản phẩm</t>
  </si>
  <si>
    <t>Dịch vụ sử dụng sản phẩm mobile banking</t>
  </si>
  <si>
    <t>Mobile Banking Flag</t>
  </si>
  <si>
    <t>Số điện thoại di động</t>
  </si>
  <si>
    <t>NAT_ID_EXP_DATE</t>
  </si>
  <si>
    <t>Ngày hêt hạn CC</t>
  </si>
  <si>
    <t>Involved Party Alternative Identification</t>
  </si>
  <si>
    <t>Expiry date</t>
  </si>
  <si>
    <t>NAT_ID_ISS_DATE</t>
  </si>
  <si>
    <t>Ngày cấp Căn cước</t>
  </si>
  <si>
    <t>Issue Date</t>
  </si>
  <si>
    <t>Nơi cấp Căn cước</t>
  </si>
  <si>
    <t>Issue Place Code</t>
  </si>
  <si>
    <t>Loại căn cước</t>
  </si>
  <si>
    <t>Identification Type Code</t>
  </si>
  <si>
    <t>Mã quốc gia -&gt; mã CCCD?</t>
  </si>
  <si>
    <t>Identification Number</t>
  </si>
  <si>
    <t>Quốc tịch</t>
  </si>
  <si>
    <t>Country Of Citizenship Code</t>
  </si>
  <si>
    <t>Thu nhập theo tháng</t>
  </si>
  <si>
    <t>Annual Income</t>
  </si>
  <si>
    <t>Nợ liên đới</t>
  </si>
  <si>
    <t>Joint liability Flag</t>
  </si>
  <si>
    <t>Nghề nghiệp của khách hàng</t>
  </si>
  <si>
    <t>Occupation Code</t>
  </si>
  <si>
    <t>Chi nhánh mở</t>
  </si>
  <si>
    <t>First Organization Unit Code</t>
  </si>
  <si>
    <t>Số điện thoại của người liên hệ chính - KH tổ chức</t>
  </si>
  <si>
    <t>Type : MOBILE_NUMBER</t>
  </si>
  <si>
    <t>Mã CIF</t>
  </si>
  <si>
    <t>Customer Code</t>
  </si>
  <si>
    <t>Mã người tham chiếu/giới thiệu</t>
  </si>
  <si>
    <t>Reference Code</t>
  </si>
  <si>
    <t>Tỉnh/thành phố nơi cư trú</t>
  </si>
  <si>
    <t>City Name</t>
  </si>
  <si>
    <t>Quốc gia cư trú</t>
  </si>
  <si>
    <t>Mã nhân viên hạch toán thứ 2</t>
  </si>
  <si>
    <t>Checker Officer</t>
  </si>
  <si>
    <t>Mã phân loại hình khách hàng</t>
  </si>
  <si>
    <t>Sector Code</t>
  </si>
  <si>
    <t>Tên viết tắt khách hàng</t>
  </si>
  <si>
    <t>Short Name</t>
  </si>
  <si>
    <t>Tên đường theo địa chỉ</t>
  </si>
  <si>
    <t>TAX_SERIAL</t>
  </si>
  <si>
    <t>Mã số thuế</t>
  </si>
  <si>
    <t>Tax Identification Number</t>
  </si>
  <si>
    <t>VAT_INV_DATE</t>
  </si>
  <si>
    <t>Ngày phát hành hóa đơn</t>
  </si>
  <si>
    <t>VAT_INV_SERIAL</t>
  </si>
  <si>
    <t>Số seri hóa đơn</t>
  </si>
  <si>
    <t>Đánh dấu khách hàng ưu tiên</t>
  </si>
  <si>
    <t>VIP Flag</t>
  </si>
  <si>
    <t>Tên khách hàng đầy đủ</t>
  </si>
  <si>
    <t>Customer Name</t>
  </si>
  <si>
    <t>VN_GENDER</t>
  </si>
  <si>
    <t>Giới tính</t>
  </si>
  <si>
    <t>Gender</t>
  </si>
  <si>
    <t>Street Name</t>
  </si>
  <si>
    <t>Tên thành phố theo địa chỉ</t>
  </si>
  <si>
    <t>Tên nhân viên hạch toán</t>
  </si>
  <si>
    <t>FCC Arrangement Code</t>
  </si>
  <si>
    <t>Dự nợ hợp đồng</t>
  </si>
  <si>
    <t>Giá trị phê duyệt</t>
  </si>
  <si>
    <t>Original Amount FCY</t>
  </si>
  <si>
    <t>Mã người phê duyệt</t>
  </si>
  <si>
    <t>Mã chi nhánh quản lý hiện tại</t>
  </si>
  <si>
    <t>Loan Arrangement, Loan Arrangement Profile</t>
  </si>
  <si>
    <t>First Organization Unit Code , Organization Unit Code</t>
  </si>
  <si>
    <t>Trường kỹ thuật đánh dấu bản ghi Insert Update delete</t>
  </si>
  <si>
    <t>Số hồ sơ giải ngân</t>
  </si>
  <si>
    <t>Paper Contract Number</t>
  </si>
  <si>
    <t>Version bản ghi hiện tại</t>
  </si>
  <si>
    <t>Customer Code/ Customer ID</t>
  </si>
  <si>
    <t>Ngày nhập liệu Core</t>
  </si>
  <si>
    <t>Số tiền thực tế giải ngân</t>
  </si>
  <si>
    <t>Disbursement Amount FCY</t>
  </si>
  <si>
    <t>Tỷ giá quy đổi</t>
  </si>
  <si>
    <t>Exchange Rate To Local Currency</t>
  </si>
  <si>
    <t>Mã hạn mức trên Flexcube</t>
  </si>
  <si>
    <t>FCC Limit Code</t>
  </si>
  <si>
    <t>Maturity Date</t>
  </si>
  <si>
    <t>Thay = trường RECID</t>
  </si>
  <si>
    <t>ID người nhập liệu</t>
  </si>
  <si>
    <t>Tài khoản thanh toán lãi</t>
  </si>
  <si>
    <t>Interest Liquid Arrangement Code /Interest Liquid Arrangement Id</t>
  </si>
  <si>
    <t>Loại lãi suất : Fix , float</t>
  </si>
  <si>
    <t>Interest Rate Variablity Type Code</t>
  </si>
  <si>
    <t>Ngày hiệu lực lãi suất</t>
  </si>
  <si>
    <t>Interest Rate Effective Date</t>
  </si>
  <si>
    <t>Giá trị lãi suất</t>
  </si>
  <si>
    <t>Effective Rate Percentage</t>
  </si>
  <si>
    <t>Biên độ lãi suất</t>
  </si>
  <si>
    <t>Spread Rate Percentage</t>
  </si>
  <si>
    <t>Mã tham chiếu hạn mức</t>
  </si>
  <si>
    <t>Limit Id/  Limit Code</t>
  </si>
  <si>
    <t xml:space="preserve">Kỳ hạn </t>
  </si>
  <si>
    <t>Term Code</t>
  </si>
  <si>
    <t>Số hồ sơ</t>
  </si>
  <si>
    <t>LOS Contract Number</t>
  </si>
  <si>
    <t>ID nhân viên giới thiệu</t>
  </si>
  <si>
    <t>Referrer Officer</t>
  </si>
  <si>
    <t>Ngày hiệu lực đầu tiên của hợp đồng</t>
  </si>
  <si>
    <t>Value Date</t>
  </si>
  <si>
    <t>Lãi phạt penalty rate</t>
  </si>
  <si>
    <t>Penalty Rate</t>
  </si>
  <si>
    <t>Tài khoản thanh toán gốc</t>
  </si>
  <si>
    <t>Principal Liquid Arrangement Code / Principal Liquid Arrangement Id</t>
  </si>
  <si>
    <t>Mã nhóm sản phẩm</t>
  </si>
  <si>
    <t>Lãi suất cho quá hạn</t>
  </si>
  <si>
    <t>Overdue Interest Rate</t>
  </si>
  <si>
    <t>Lãi suât thực tế</t>
  </si>
  <si>
    <t>Arrangement Code</t>
  </si>
  <si>
    <t>Trạng thái</t>
  </si>
  <si>
    <t>Arrangement Life Cycle Status Type Code</t>
  </si>
  <si>
    <t>Mã nhóm mục đích vay</t>
  </si>
  <si>
    <t>Arrangement Purpose Group Code</t>
  </si>
  <si>
    <t>NA</t>
  </si>
  <si>
    <t>Giá trị giải ngân</t>
  </si>
  <si>
    <t>Mã hồ sơ</t>
  </si>
  <si>
    <t>Mã loại tiền</t>
  </si>
  <si>
    <t>Mã khách hành</t>
  </si>
  <si>
    <t>Ngày đáo hạn</t>
  </si>
  <si>
    <t>Loại lãi suất: cố định, thả nổi</t>
  </si>
  <si>
    <t>Ngày thu lãi</t>
  </si>
  <si>
    <t>tài khoản thanh toán gốc</t>
  </si>
  <si>
    <t>Lãi suâất thực tế</t>
  </si>
  <si>
    <t>Arrangement Code/Arrangement ID</t>
  </si>
  <si>
    <t>Mã Mục đích vay</t>
  </si>
  <si>
    <t>Ngày thanh toán gần nhất</t>
  </si>
  <si>
    <t xml:space="preserve">ID người phê duyệt </t>
  </si>
  <si>
    <t xml:space="preserve">Tình trạng tín dụng </t>
  </si>
  <si>
    <t>Financial Status Code</t>
  </si>
  <si>
    <t>Đối với LD trong hạn thì fix =1</t>
  </si>
  <si>
    <t>Version hiện tại của bản ghi</t>
  </si>
  <si>
    <t>Mã Khách hàng</t>
  </si>
  <si>
    <t>Trường đánh dấu trạng thái</t>
  </si>
  <si>
    <t>Kỳ hạn gốc</t>
  </si>
  <si>
    <t>Pd_type = 1 là các khoản phạt gốc quá hạn, lãi quá hạn đc migrate sang thành phần IN
Null là gốc, lãi quá hạn</t>
  </si>
  <si>
    <t>Lãi phạt penalty rate (danh nghĩa)??</t>
  </si>
  <si>
    <t>Số ngày quá hạn chuyển đổi</t>
  </si>
  <si>
    <t>Hạn thanh toán</t>
  </si>
  <si>
    <t>Trường kỹ thuật đánh dấu version thay đổi bản ghi</t>
  </si>
  <si>
    <t>Loại sản phẩm</t>
  </si>
  <si>
    <t>Phong.Pham</t>
  </si>
  <si>
    <t>Mã phân loại sản phẩm vay</t>
  </si>
  <si>
    <t>Nhóm nợ hợp đồng</t>
  </si>
  <si>
    <t>Trường kỹ thuật, thời gian bản ghi update</t>
  </si>
  <si>
    <t>Ngày trả nơ cuối khi quá hạn</t>
  </si>
  <si>
    <t>Cờ đánh dấu trạng thái bản ghi</t>
  </si>
  <si>
    <t>Ngày đáo hạn gốc</t>
  </si>
  <si>
    <t>Loại hình thanh toán</t>
  </si>
  <si>
    <t>Key bản ghi</t>
  </si>
  <si>
    <t>Số tài khoản thanh toán</t>
  </si>
  <si>
    <t>Trường kỹ thuật I-U-D</t>
  </si>
  <si>
    <t>Số tiền còn lại chưa thanh toán</t>
  </si>
  <si>
    <t>Số tiền đã trả</t>
  </si>
  <si>
    <t>Loại khách hàng</t>
  </si>
  <si>
    <t xml:space="preserve">Mã định danh </t>
  </si>
  <si>
    <t>Posting Entry Amount FCY</t>
  </si>
  <si>
    <t>Dư nợ quy đổi</t>
  </si>
  <si>
    <t>Posting Entry Amount LCY</t>
  </si>
  <si>
    <t>Ngay but toan ghi nhan vao he thong</t>
  </si>
  <si>
    <t>Posting Date</t>
  </si>
  <si>
    <t>Loai tien but toan</t>
  </si>
  <si>
    <t>Ma tham chieu</t>
  </si>
  <si>
    <t>Transaction Number</t>
  </si>
  <si>
    <t>Mã giao dịch, Unique ID</t>
  </si>
  <si>
    <t>Posting Entry Number</t>
  </si>
  <si>
    <t>Mã giao dịch</t>
  </si>
  <si>
    <t>Transaction Type</t>
  </si>
  <si>
    <t>Ngay Hieu luc but toan</t>
  </si>
  <si>
    <t>Consol key của bút toán STMT</t>
  </si>
  <si>
    <t>Consolidate Key</t>
  </si>
  <si>
    <t>Mã hợp đồng tham chiếu tới Bút toán</t>
  </si>
  <si>
    <t>Arrangement Code / Arrangement Id</t>
  </si>
  <si>
    <t>Mã khách hàng ứng với Account_number</t>
  </si>
  <si>
    <t>Customer Id/ Customer Code</t>
  </si>
  <si>
    <t>Mã phân hệ</t>
  </si>
  <si>
    <t>Loại sản phẩm hạch toán</t>
  </si>
  <si>
    <t>Accounting Product Category Code</t>
  </si>
  <si>
    <t>Mô tả bút toán</t>
  </si>
  <si>
    <t>Posting Entry Description</t>
  </si>
  <si>
    <t>Số tài khoản liên quan</t>
  </si>
  <si>
    <t>Account Number</t>
  </si>
  <si>
    <t>Cờ đánh dấu ghi nợ/ghi có</t>
  </si>
  <si>
    <t>Accounting Credit Debit Flag</t>
  </si>
  <si>
    <t>Ngày hạch toán</t>
  </si>
  <si>
    <t>Accounting Date</t>
  </si>
  <si>
    <t>Maã định danh tài khoản</t>
  </si>
  <si>
    <t>Account Id</t>
  </si>
  <si>
    <t>Loại bút toán</t>
  </si>
  <si>
    <t>Balance Type</t>
  </si>
  <si>
    <t>Số thẻ</t>
  </si>
  <si>
    <t>Card Number</t>
  </si>
  <si>
    <t>Trường kỹ thuật đánh dấu bản ghi IUD</t>
  </si>
  <si>
    <t>Commit Action</t>
  </si>
  <si>
    <t>??</t>
  </si>
  <si>
    <t>Commit Timestamp</t>
  </si>
  <si>
    <t>Mã Category phân loại bút toán</t>
  </si>
  <si>
    <t>Category Product Code</t>
  </si>
  <si>
    <t>Trường kỹ thuật, đánh dấu version thay đổi bút toán</t>
  </si>
  <si>
    <t>Current Number</t>
  </si>
  <si>
    <t>Cycle Forward</t>
  </si>
  <si>
    <t>Trường kỹ thuật, ghi nhận thời gian sửa đổi</t>
  </si>
  <si>
    <t>Date Time</t>
  </si>
  <si>
    <t>Mã đơn vị hạch toán</t>
  </si>
  <si>
    <t>Department Code</t>
  </si>
  <si>
    <t>Tài khoản ghi nhận số tiền rút</t>
  </si>
  <si>
    <t>Drawn Account</t>
  </si>
  <si>
    <t>Mã Category nội bộ</t>
  </si>
  <si>
    <t>Internal Category</t>
  </si>
  <si>
    <t>Trường multivalue - đa nghĩa của T24</t>
  </si>
  <si>
    <t>Local Reference</t>
  </si>
  <si>
    <t>Giá trị hạch toán ban đầu quy đổi</t>
  </si>
  <si>
    <t>Original Amount LCY</t>
  </si>
  <si>
    <t>Số tài khoản hạch toán ban đầu</t>
  </si>
  <si>
    <t>Original Account</t>
  </si>
  <si>
    <t>Giá trị hạch toán ban đầu nguyên tệ</t>
  </si>
  <si>
    <t>Original Amount</t>
  </si>
  <si>
    <t>Loại tiền giao dịch ban đầu</t>
  </si>
  <si>
    <t>Original Currency</t>
  </si>
  <si>
    <t>Tỷ giá quy đổi cho loại tiền ban đầu</t>
  </si>
  <si>
    <t>Original Exchange Rate</t>
  </si>
  <si>
    <t>Dư nợ tín dụng của hợp đồng ( OUR_REFERENCE)</t>
  </si>
  <si>
    <t>Outstanding Balance</t>
  </si>
  <si>
    <t>Cờ cảnh báo</t>
  </si>
  <si>
    <t>Override Flag</t>
  </si>
  <si>
    <t>Process Forward</t>
  </si>
  <si>
    <t>Trạng Thái bản ghi</t>
  </si>
  <si>
    <t>Record Status</t>
  </si>
  <si>
    <t>Số tiền thu nợ</t>
  </si>
  <si>
    <t>Repayment Amount</t>
  </si>
  <si>
    <t>Ngày thu</t>
  </si>
  <si>
    <t>Repayment Date</t>
  </si>
  <si>
    <t>Loại thu nợ</t>
  </si>
  <si>
    <t>Repayment Type</t>
  </si>
  <si>
    <t>Mã Category phân loại bút toán bị treo</t>
  </si>
  <si>
    <t>Suspense Category</t>
  </si>
  <si>
    <t>Ngày bút toán treo</t>
  </si>
  <si>
    <t>Suspense Value Date</t>
  </si>
  <si>
    <t xml:space="preserve">TYPE : </t>
  </si>
  <si>
    <t>Nguồn</t>
  </si>
  <si>
    <t>Bảng nguồn</t>
  </si>
  <si>
    <t>Business Rule</t>
  </si>
  <si>
    <t>a</t>
  </si>
  <si>
    <t>Where a.flag_status = 'LIVE'
        AND a.PAY_TYPE IN ('PR' , 'IN')
        AND nvl(pd_type, 0 ) &lt;&gt; 1
        AND a.RECORD_STATUS IS NULL
        AND nvl(a.RECORD_STATUs, '_') &lt;&gt; 'REVE' 
        AND a.PAY_AMT_OUTS &gt; 0
AND a.DATE_TIME = (SELECT max(b.DATE_TIME) FROM T24CORE.PD_PAYMENT_DUE_HIS_MV b WHERE b.RECID = a.RECID AND a.PAY_TYPE  = b.PAY_TYPE )
        AND a.CURR_NO  = (SELECT max(b.CURR_NO) FROM T24CORE.PD_PAYMENT_DUE_HIS_MV b WHERE b.RECID = a.RECID AND a.PAY_TYPE  = b.PAY_TYPE )</t>
  </si>
  <si>
    <t>b</t>
  </si>
  <si>
    <t xml:space="preserve">(left join) a.recid=b.recid </t>
  </si>
  <si>
    <t>Cột nguồn</t>
  </si>
  <si>
    <t>Transform</t>
  </si>
  <si>
    <t>Entity</t>
  </si>
  <si>
    <t>Attribute</t>
  </si>
  <si>
    <t>Bảng đích</t>
  </si>
  <si>
    <t>Cột đích</t>
  </si>
  <si>
    <t>Kiểu dữ liệu</t>
  </si>
  <si>
    <t>Độ dài</t>
  </si>
  <si>
    <t>Diễn giải</t>
  </si>
  <si>
    <t>Carlendar Date</t>
  </si>
  <si>
    <t>Ngày dữ liệu</t>
  </si>
  <si>
    <t>fn_hash("T24_LD_LOANS_AND_DEPOSITS",SUBSTR(a.RECID,1,14 ))</t>
  </si>
  <si>
    <t>Arrangement ID</t>
  </si>
  <si>
    <t>AR_ID</t>
  </si>
  <si>
    <t>CHAR</t>
  </si>
  <si>
    <t>ID của hợp đồng</t>
  </si>
  <si>
    <t>SUBSTR(a.RECID,1,14 )</t>
  </si>
  <si>
    <t>AR_CODE</t>
  </si>
  <si>
    <t>VARCHAR</t>
  </si>
  <si>
    <t>Mã hợp đồng</t>
  </si>
  <si>
    <t>fn_hash("T24_LD_LOANS_AND_DEPOSITS",CASE WHEN  RECID like 'PDLD%' THEN SUBSTR(a.RECID,3,12 ) ELSE SUBSTR(a.RECID,1,14 ) END)</t>
  </si>
  <si>
    <t>Original Arrangement Id</t>
  </si>
  <si>
    <t>ORIG_AR_ID</t>
  </si>
  <si>
    <t>ID của hợp đồng gốc</t>
  </si>
  <si>
    <t>CASE WHEN  RECID like 'PDLD%' THEN SUBSTR(a.RECID,3,12 ) ELSE SUBSTR(a.RECID,1,14 ) END</t>
  </si>
  <si>
    <t>Original Arrangement Code</t>
  </si>
  <si>
    <t>ORIG_AR_CODE</t>
  </si>
  <si>
    <t>Mã hợp đồng gốc</t>
  </si>
  <si>
    <t>Source System Code</t>
  </si>
  <si>
    <t>Mã nguồn dữ liệu</t>
  </si>
  <si>
    <t>MIN(CASE
                WHEN A.PAY_TYPE = 'PR'
                        AND A.CATEGORY &lt;&gt; 21069 
        THEN to_date(A.PAYMENT_DTE_DUE, 'rrrrmmdd' )
                ELSE NULL
        END) 
GROUP BY SUBSTR(a.RECID,1,14 )</t>
  </si>
  <si>
    <t>Principal Past Due Date</t>
  </si>
  <si>
    <t>PNP_PAST_DUE_DT</t>
  </si>
  <si>
    <t>Ngày quá hạn gốc</t>
  </si>
  <si>
    <t>MIN(CASE
                WHEN (A.PAY_TYPE = 'IN'
                        OR (A.CATEGORY = 21069
                        AND A.PAY_TYPE = 'PR' ) ) 
         THEN to_date(A.PAYMENT_DTE_DUE, 'rrrrmmdd' )
                ELSE NULL
        END)
GROUP BY SUBSTR(a.RECID,1,14 )</t>
  </si>
  <si>
    <t>Interest Past Due Date</t>
  </si>
  <si>
    <t>INT_PAST_DUE_DT</t>
  </si>
  <si>
    <t>Ngày quá hạn lãi</t>
  </si>
  <si>
    <t>MIN(CASE
                WHEN A.PAY_TYPE = 'PR'
                        AND A.CATEGORY &lt;&gt; 21069 
        THEN A.PAY_AMT_OUTS
                ELSE NULL
        END)
GROUP BY SUBSTR(a.RECID,1,14 )</t>
  </si>
  <si>
    <t>Principal Arrears</t>
  </si>
  <si>
    <t>PNP_ARS</t>
  </si>
  <si>
    <t>NUMBER</t>
  </si>
  <si>
    <t>Số tiền quá hạn gốc</t>
  </si>
  <si>
    <t>MIN(CASE
                WHEN (A.PAY_TYPE = 'IN'
                        OR (A.CATEGORY = 21069
                        AND A.PAY_TYPE = 'PR' ) ) 
         THEN PAY_AMT_OUTS
                ELSE NULL
        END)
GROUP BY SUBSTR(a.RECID,1,14 )</t>
  </si>
  <si>
    <t>Interest Arrears</t>
  </si>
  <si>
    <t>INT_ARS</t>
  </si>
  <si>
    <t>Số tiền quá hạn lãi</t>
  </si>
  <si>
    <t>MAX(b.SNQH_CHUYENDOI) GROUP BY SUBSTR(a.RECID,1,14 )</t>
  </si>
  <si>
    <t>Addition days in arrears</t>
  </si>
  <si>
    <t>ADDITION_DYS_IN_ARS</t>
  </si>
  <si>
    <t>TYPE : Fact Snashot</t>
  </si>
  <si>
    <t>No</t>
  </si>
  <si>
    <t>System</t>
  </si>
  <si>
    <t>TABLE</t>
  </si>
  <si>
    <t>Short table</t>
  </si>
  <si>
    <t>Main Table</t>
  </si>
  <si>
    <t>Type join</t>
  </si>
  <si>
    <t>Condition JOIN</t>
  </si>
  <si>
    <t>Condition where</t>
  </si>
  <si>
    <t>where APP_CODE IN ('LD', 'PD')</t>
  </si>
  <si>
    <t>etl_date</t>
  </si>
  <si>
    <t>fn_hash("T24_LD_LOANS_AND_DEPOSITS",APP_ID)</t>
  </si>
  <si>
    <t>ID hợp đồng</t>
  </si>
  <si>
    <t>1:1</t>
  </si>
  <si>
    <t>fn_hash("T24_LD_LOANS_AND_DEPOSITS",CASE WHEN APP_ID like 'PDLD%' THEN SUBSTR(a.APP_ID,3,12 ) ELSE APP_ID END)</t>
  </si>
  <si>
    <t>ID hợp đồng gốc</t>
  </si>
  <si>
    <t>CASE WHEN APP_ID like 'PDLD%' THEN SUBSTR(a.APP_ID,3,12 ) ELSE APP_ID END</t>
  </si>
  <si>
    <t>case when a.SBV_CODE LIKE '2%' AND a.AMOUNT_CUR &lt; 0 THEN abs(AMOUNT_CUR) else 0 end</t>
  </si>
  <si>
    <t>Closing Balance FCY</t>
  </si>
  <si>
    <t>Dư nợ còn lại nguyên tệ</t>
  </si>
  <si>
    <t>case when a.SBV_CODE LIKE '2%' AND a.AMOUNT_LCY &lt; 0 THEN abs(AMOUNT_LCY) else 0 end</t>
  </si>
  <si>
    <t>Dư nợ còn lại quy đổi</t>
  </si>
  <si>
    <t>Total Recoverable Principal Amount FCY</t>
  </si>
  <si>
    <t>TOT_RECBL_PNP_AMT_FCY</t>
  </si>
  <si>
    <t>Tổng dư nợ gốc có thể thu được</t>
  </si>
  <si>
    <t>Total Due Principal Amount FCY</t>
  </si>
  <si>
    <t>TOT_DUE_PNP_AMT_FCY</t>
  </si>
  <si>
    <t>Tổng dư nợ gốc đến hạn</t>
  </si>
  <si>
    <t>Total Overdue Principal Amount FCY</t>
  </si>
  <si>
    <t>TOT_ODUE_PNP_AMT_FCY</t>
  </si>
  <si>
    <t>Tổng dư nợ gốc quá hạn</t>
  </si>
  <si>
    <t>Disbursement Amount LTD FCY</t>
  </si>
  <si>
    <t>DSBR_AMT_LTD_FCY</t>
  </si>
  <si>
    <t>Tổng giá trị giải ngân từ trước đến nay</t>
  </si>
  <si>
    <t>Debits Amount In Day FCY</t>
  </si>
  <si>
    <t>DB_AMT_IN_DAY_FCY</t>
  </si>
  <si>
    <t>Số tiền ghi nợ trong ngày</t>
  </si>
  <si>
    <t>Number Of Debits In Day</t>
  </si>
  <si>
    <t>NBR_OF_DB_IN_DAY</t>
  </si>
  <si>
    <t>Số giao dịch ghi nợ trong ngày</t>
  </si>
  <si>
    <t>Credits Amount In Day FCY</t>
  </si>
  <si>
    <t>CR_AMT_IN_DAY_FCY</t>
  </si>
  <si>
    <t>Số tiền ghi có trong ngày</t>
  </si>
  <si>
    <t>Number Of Credit In Day</t>
  </si>
  <si>
    <t>NBR_OF_CR_IN_DAY</t>
  </si>
  <si>
    <t>Số giao dịch ghi có trong ngày</t>
  </si>
  <si>
    <t>Debits Amount In Month FCY</t>
  </si>
  <si>
    <t>DB_AMT_IN_MO_FCY</t>
  </si>
  <si>
    <t>Số tiền ghi nợ trong tháng</t>
  </si>
  <si>
    <t>Number Of Debits In Month</t>
  </si>
  <si>
    <t>NBR_OF_DB_IN_MO</t>
  </si>
  <si>
    <t>Số giao dịch ghi nợ trong tháng</t>
  </si>
  <si>
    <t>Credits Amount In Month FCY</t>
  </si>
  <si>
    <t>CR_AMT_IN_MO_FCY</t>
  </si>
  <si>
    <t>Số tiền ghi có trong tháng</t>
  </si>
  <si>
    <t>Number Of Credits In Month</t>
  </si>
  <si>
    <t>NBR_OF_CR_IN_MO</t>
  </si>
  <si>
    <t>Số giao dịch ghi có trong tháng</t>
  </si>
  <si>
    <t>Debits Amount In Year FCY</t>
  </si>
  <si>
    <t>DB_AMT_IN_YR_FCY</t>
  </si>
  <si>
    <t>Số tiền ghi nợ trong năm</t>
  </si>
  <si>
    <t>Number Of Debits In Year</t>
  </si>
  <si>
    <t>NBR_OF_DB_IN_YR</t>
  </si>
  <si>
    <t>Số giao dịch ghi nợ trong năm</t>
  </si>
  <si>
    <t>Credits Amount In Year FCY</t>
  </si>
  <si>
    <t>CR_AMT_IN_YR_FCY</t>
  </si>
  <si>
    <t>Số tiền ghi có trong năm</t>
  </si>
  <si>
    <t>Number Of Credits In Year</t>
  </si>
  <si>
    <t>NBR_OF_CR_IN_YR</t>
  </si>
  <si>
    <t>Số giao dịch ghi có trong năm</t>
  </si>
  <si>
    <t>left join</t>
  </si>
  <si>
    <t>ON a.APP_ID = b.RECID</t>
  </si>
  <si>
    <t>(SELECT SUM(CASE WHEN b.OUR_REFERENCE LIKE 'PDPD%'  AND b.TRANSACTION_CODE in ('751','434')  THEN 
decode(b.CURRENCY,'VND',abs(b.AMOUNT_LCY),abs(b.AMOUNT_FCY)) ELSE 0 END) +
SUM(CASE WHEN (b.OUR_REFERENCE LIKE 'PDLD%' OR b.OUR_REFERENCE LIKE 'LD%' )AND b.CRF_PROD_CAT = '21069' AND b.TRANSACTION_CODE in ('750','420') THEN decode(b.CURRENCY,'VND',abs(b.AMOUNT_LCY),abs(b.AMOUNT_FCY)) ELSE 0 END) SUM_REPAID_AMT
,(CASE WHEN OUR_REFERENCE LIKE 'LD%' OR OUR_REFERENCE LIKE 'PD%' THEN OUR_REFERENCE END) AS RECID
FROM  t24core.STMT_ENTRY b
WHERE 1=1 AND b.RECID not like 'F%' --AND b.booking_date &lt;= ${ETL_DATE}
 GROUP BY (CASE WHEN OUR_REFERENCE LIKE 'LD%' OR OUR_REFERENCE LIKE 'PD%' THEN OUR_REFERENCE END)) b</t>
  </si>
  <si>
    <t>Asset Arrangement Interest Summary</t>
  </si>
  <si>
    <t>abs(AMOUNT_CUR)</t>
  </si>
  <si>
    <t>Total Accrued Interest Amount FCY</t>
  </si>
  <si>
    <t>TOT_ACR_INT_AMT_FCY</t>
  </si>
  <si>
    <t>Lãi dự thu</t>
  </si>
  <si>
    <t>SUM_REPAID_AMT</t>
  </si>
  <si>
    <t>NVL(SUM_REPAID_AMT,0)</t>
  </si>
  <si>
    <t>Total Interest Paid Amount FCY</t>
  </si>
  <si>
    <t>TOT_INT_PAID_AMT_FCY</t>
  </si>
  <si>
    <t>Lãi đã trả</t>
  </si>
  <si>
    <t>CASE WHEN a.SBV_CODE LIKE '394%' THEN ABS(NVL(a.AMOUNT_CUR,0)) ELSE 0 END</t>
  </si>
  <si>
    <t>Total Interest Due Amount FCY</t>
  </si>
  <si>
    <t>TOT_INT_DUE_AMT_FCY</t>
  </si>
  <si>
    <t>Lãi phải trả đến hạn</t>
  </si>
  <si>
    <t>CASE WHEN a.SBV_CODE LIKE '94%' THEN ABS(NVL(a.AMOUNT_CUR,0)) ELSE 0 END</t>
  </si>
  <si>
    <t>Total Interest Overdue Amount FCY</t>
  </si>
  <si>
    <t>TOT_INT_ODUE_AMT_FCY</t>
  </si>
  <si>
    <t>Lãi phải trả quá hạn</t>
  </si>
  <si>
    <t>TYPE : SCD TYPE 2</t>
  </si>
  <si>
    <t>Fields</t>
  </si>
  <si>
    <t>PG_BRONZE</t>
  </si>
  <si>
    <t>T24CORE_STMT_ENTRY</t>
  </si>
  <si>
    <t>stmt</t>
  </si>
  <si>
    <t>main</t>
  </si>
  <si>
    <t>c</t>
  </si>
  <si>
    <t>recid like  'F%'
and COMMIT_ACTION &lt;&gt; 'D'
and BOOKING_DATE = etl_date</t>
  </si>
  <si>
    <t>CASE
        WHEN stmt.OUR_REFERENCE LIKE 'LD%' THEN stmt.OUR_REFERENCE
        WHEN stmt.OUR_REFERENCE LIKE 'PD%' THEN SUBSTR(stmt.OUR_REFERENCE, 3)
END as contract_id
,ABS((COALESCE(stmt.AMOUNT_LCY,0) ) as amount_lcy, *</t>
  </si>
  <si>
    <t>T24CORE_LD_LOANS_AND_DEPOSITS</t>
  </si>
  <si>
    <t>ld</t>
  </si>
  <si>
    <t>sub</t>
  </si>
  <si>
    <t>left</t>
  </si>
  <si>
    <t>ld.recid=stmt.contract_id</t>
  </si>
  <si>
    <t>TRUNC(to_date(DATE_TIME,'YYMMDDHH24MI'))
 &lt;= TO_DATE(etl_date,'YYYYMMDD')</t>
  </si>
  <si>
    <t>CATEGORY,
co_code</t>
  </si>
  <si>
    <t>T24CORE_PD_PAYMENT_DUE_MV</t>
  </si>
  <si>
    <t>PDP</t>
  </si>
  <si>
    <t xml:space="preserve">stmt.CONTRACT_ID
 = pd.CONTRACT_ID
</t>
  </si>
  <si>
    <t>SELECT
        SUBSTR(pdmv.RECID, 3) AS CONTRACT_ID,
pdmv.PAYMENT_DTE_DUE,
pdmv.CATEGORY,
pdmv.co_code
FROM PG_T24CORE.PD_PAYMENT_DUE_MV pdmv
WHERE pdmv.flag_status &lt;&gt; 'DELETE' AND 
         pdmv.PAYMENT_DTE_DUE = (SELECT MAX(PREV_SCHED_DATE)
        FROM PG_T24CORE.LD_SCHEDULE_DEFINE_MV WHERE CONTRACT_ID = SUBSTR(pdmv.RECID, 3)
AND TO_DATE(PREV_SCHED_DATE, 'YYYYMMDD') &lt;= TO_DATE(etl_date, 'YYYYMMDD'))</t>
  </si>
  <si>
    <t>T24CORE_LD_SCHEDULE_DEFINE_MV</t>
  </si>
  <si>
    <t>stmt.recid</t>
  </si>
  <si>
    <t xml:space="preserve">fn_hash("T24_LD_LOANS_AND_DEPOSITS|",stmt.recid) </t>
  </si>
  <si>
    <t>Arrangement Activity Schedule Id</t>
  </si>
  <si>
    <t>Arrangement Activity Schedule Item</t>
  </si>
  <si>
    <t>AR_AVY_SHD_ID</t>
  </si>
  <si>
    <t>varchar2</t>
  </si>
  <si>
    <t>ID duy nhất của mã số dòng lịch  trên DWH</t>
  </si>
  <si>
    <t>Arrangement Activity Schedule Code</t>
  </si>
  <si>
    <t>AR_AVY_SHD_CODE</t>
  </si>
  <si>
    <t>Mã số dòng lịch trên hệ thống nguồn</t>
  </si>
  <si>
    <t>LOAN_PD_SHD'</t>
  </si>
  <si>
    <t>Arrangement Activity Schedule Type</t>
  </si>
  <si>
    <t>AR_AVY_SHD_TP</t>
  </si>
  <si>
    <t xml:space="preserve">Phân loại của dòng lịch hợp đồng </t>
  </si>
  <si>
    <t>stmt.contract_id</t>
  </si>
  <si>
    <t>fn_hash("T24_LD_LOANS_AND_DEPOSITS|",stmt.contract_id)</t>
  </si>
  <si>
    <t>Arrangement Id</t>
  </si>
  <si>
    <t>ID duy nhất của hợp đồng trên DWH</t>
  </si>
  <si>
    <t>Arrangement  Code</t>
  </si>
  <si>
    <t>Mã của hợp đồng gốc</t>
  </si>
  <si>
    <t>STMT_ENTRY,
T24CORE_LD_LOANS_AND_DEPOSITS,
T24CORE_PD_PAYMENT_DUE_MV</t>
  </si>
  <si>
    <t>TRANSACTION_CODE ,
ld.CATEGORY, 
pd.CATEGORY, 
stmt.CRF_PROD_CAT</t>
  </si>
  <si>
    <t>CASE        
              WHEN stmt.TRANSACTION_CODE ='402' THEN 'LD_GN'
              WHEN stmt.TRANSACTION_CODE in ('420','423') AND COALESCE(ld.CATEGORY, pd.CATEGORY, stmt.CRF_PROD_CAT,'_') &lt;&gt; '21069' THEN 'LD_PR'
              WHEN stmt.TRANSACTION_CODE in('434','424') OR (stmt.TRANSACTION_CODE in ('420','423') AND COALESCE(ld.CATEGORY, pd.CATEGORY, stmt.CRF_PROD_CAT) ='21069') THEN 'LD_IN'
              WHEN stmt.TRANSACTION_CODE = '750' THEN 'PD_PR'
              WHEN stmt.TRANSACTION_CODE = '751' THEN 'PD_IN'
              WHEN stmt.TRANSACTION_CODE = '752' THEN 'PD_PE'
              WHEN stmt.TRANSACTION_CODE = '753' THEN 'PD_PS'
         END</t>
  </si>
  <si>
    <t>Payable Amount Type</t>
  </si>
  <si>
    <t>PBL_AMT_TP</t>
  </si>
  <si>
    <t>Phân loại tiền cần thanh toán trong kỳ bill tương ứng (PS/PE/LD,..)</t>
  </si>
  <si>
    <t>stmt.amount_lcy</t>
  </si>
  <si>
    <t>Payable Amount LCY</t>
  </si>
  <si>
    <t>PBL_AMT_LCY</t>
  </si>
  <si>
    <t>Số tiền cần thanh toán quy đổi trong kỳ bill tương ứng</t>
  </si>
  <si>
    <t>stmt.amount_fcy</t>
  </si>
  <si>
    <t>Payable Amount FCY</t>
  </si>
  <si>
    <t>PBL_AMT_FCY</t>
  </si>
  <si>
    <t>Số tiền cần thanh toán nguyên tệ trong kỳ bill tương ứng</t>
  </si>
  <si>
    <t>stmt.EXCHANGE_RATE</t>
  </si>
  <si>
    <t>stmt.CURRENCY</t>
  </si>
  <si>
    <t>Tỷ giá thực hiện</t>
  </si>
  <si>
    <t>stmt.value_date</t>
  </si>
  <si>
    <t>Effective Maturity Date</t>
  </si>
  <si>
    <t>EFF_MAT_DT</t>
  </si>
  <si>
    <t>date</t>
  </si>
  <si>
    <t>Ngày hiệu lực của dòng lịch</t>
  </si>
  <si>
    <t>T24CORE_PD_PAYMENT_DUE_MV,
T24CORE_LD_SCHEDULE_DEFINE_MV</t>
  </si>
  <si>
    <t xml:space="preserve"> pdp.CONTRACT_ID</t>
  </si>
  <si>
    <t>CASE
        WHEN pd.CONTRACT_ID IS NOT NULL THEN 1
        ELSE 0
END</t>
  </si>
  <si>
    <t>Flag Last Overdue Date</t>
  </si>
  <si>
    <t>F_LAST_OD_DATE
F_LAST_OD_DT</t>
  </si>
  <si>
    <t>number</t>
  </si>
  <si>
    <t>1,0'</t>
  </si>
  <si>
    <t>Cờ hợp đồng có đang tồn tại kỳ trả nợ quá hạn gần nhất hay không</t>
  </si>
  <si>
    <t>pdp.PAYMENT_DTE_DUE</t>
  </si>
  <si>
    <t>Last Overdue Date</t>
  </si>
  <si>
    <t>LAST_OD_DATE
LAST_OD_DT</t>
  </si>
  <si>
    <t>Ngày đến hạn của kỳ trả nợ gần nhất đã chuyển sang quá hạn</t>
  </si>
  <si>
    <t>T24CORE_STMT_ENTRY'</t>
  </si>
  <si>
    <t>stmt.CUSTOMER_ID</t>
  </si>
  <si>
    <t>fn_hash("T24_CUSTOMER|",stmt.CUSTOMER_ID)</t>
  </si>
  <si>
    <t>Customer Id</t>
  </si>
  <si>
    <t>CST_ID</t>
  </si>
  <si>
    <t>ID duy nhất của khách hàng liên quan trên DWH</t>
  </si>
  <si>
    <t xml:space="preserve">CST_CODE </t>
  </si>
  <si>
    <t xml:space="preserve">Mã số khách hàng </t>
  </si>
  <si>
    <t>ETL_DATE if not exists AR_AVY_SHD_ID</t>
  </si>
  <si>
    <t>System Effective Date</t>
  </si>
  <si>
    <t>SYS_EFF_DT</t>
  </si>
  <si>
    <t>Ngày bản ghi lần đầu tiên vào hệ thống</t>
  </si>
  <si>
    <t>ETL_DATE if RECID was deleted</t>
  </si>
  <si>
    <t>System Expiry Date</t>
  </si>
  <si>
    <t>SYS_EXP_DT</t>
  </si>
  <si>
    <t>Ngày hết hạn của bản ghi</t>
  </si>
  <si>
    <t>ETL_DATE</t>
  </si>
  <si>
    <t>System Update Date</t>
  </si>
  <si>
    <t>SYS_UDT_DT</t>
  </si>
  <si>
    <t>Ngày update dữ liệu gần nhất</t>
  </si>
  <si>
    <t>TYPE :</t>
  </si>
  <si>
    <t>PG_SILVER</t>
  </si>
  <si>
    <t>LEFT JOIN</t>
  </si>
  <si>
    <t>a.CST_CODE = b.CST_CODE</t>
  </si>
  <si>
    <t>c1</t>
  </si>
  <si>
    <t>a.CST_CODE = c1.CST_CODE</t>
  </si>
  <si>
    <t>c1.ELC_ADR_TP = 'EMAIL'</t>
  </si>
  <si>
    <t>c2</t>
  </si>
  <si>
    <t>a.CST_CODE = c2.CST_CODE</t>
  </si>
  <si>
    <t>c2.ELC_ADR_TP = 'HOME_NUMBER'</t>
  </si>
  <si>
    <t>c3</t>
  </si>
  <si>
    <t>a.CST_CODE = c3.CST_CODE</t>
  </si>
  <si>
    <t>c3.ELC_ADR_TP = 'MOBILE_NUMBER'</t>
  </si>
  <si>
    <t>d1</t>
  </si>
  <si>
    <t>a.CST_CODE = d1.CST_CODE</t>
  </si>
  <si>
    <t>d1.PST_ADR_TP = 'CURRENT ADDRESS'</t>
  </si>
  <si>
    <t>d2</t>
  </si>
  <si>
    <t>a.CST_CODE = d2.CST_CODE</t>
  </si>
  <si>
    <t>d2.PST_ADR_TP = ''PERMANENT ADDRESS''</t>
  </si>
  <si>
    <t>e</t>
  </si>
  <si>
    <t>INNER JOIN</t>
  </si>
  <si>
    <t>a.CST_CODE = e.CST_CODE</t>
  </si>
  <si>
    <t>f</t>
  </si>
  <si>
    <t>a.CST_CODE = f.CST_CODE</t>
  </si>
  <si>
    <t>Term gold</t>
  </si>
  <si>
    <t>Term silver</t>
  </si>
  <si>
    <t>VARCHAR2</t>
  </si>
  <si>
    <t>Mã khách hàng</t>
  </si>
  <si>
    <t>OPN_DT</t>
  </si>
  <si>
    <t>Open Date</t>
  </si>
  <si>
    <t>Ngày đăng ký</t>
  </si>
  <si>
    <t>FRST_OU_CODE</t>
  </si>
  <si>
    <t>CN_MO</t>
  </si>
  <si>
    <t>IDENTN_NBR</t>
  </si>
  <si>
    <t>SO_GTTT</t>
  </si>
  <si>
    <t>IDENTN_ISSU_DT</t>
  </si>
  <si>
    <t>Identification Issue Date</t>
  </si>
  <si>
    <t>Ngày cấp giấy tờ tùy thân</t>
  </si>
  <si>
    <t>NULL</t>
  </si>
  <si>
    <t>Business Registration Number</t>
  </si>
  <si>
    <t>BSN_RGST_NBR</t>
  </si>
  <si>
    <t>Số giấy phép doanh nghiệp</t>
  </si>
  <si>
    <t>TAX_IDENTN_NBR</t>
  </si>
  <si>
    <t>Business Registration Effective Date</t>
  </si>
  <si>
    <t>BSN_RGST_EFF_DT</t>
  </si>
  <si>
    <t>IDENTN_EXPIRY_DT</t>
  </si>
  <si>
    <t>Business Registration Expiry date</t>
  </si>
  <si>
    <t>BSN_RGST_EXPIRY_DT</t>
  </si>
  <si>
    <t>Ngày hêt hạn căn cước</t>
  </si>
  <si>
    <t>GND</t>
  </si>
  <si>
    <t>Giới tính</t>
  </si>
  <si>
    <t>CHKER_OFCR_CODE</t>
  </si>
  <si>
    <t>CHKER_OFCR</t>
  </si>
  <si>
    <t>NHOM_KH_DH</t>
  </si>
  <si>
    <t>Date Of Birth</t>
  </si>
  <si>
    <t>DOB</t>
  </si>
  <si>
    <t>Ngày sinh</t>
  </si>
  <si>
    <t>OU_CODE</t>
  </si>
  <si>
    <t>CN_QL</t>
  </si>
  <si>
    <t>Vip Type Code</t>
  </si>
  <si>
    <t>VIP_TP_CODE</t>
  </si>
  <si>
    <t>Phân hạng khách hàng vip</t>
  </si>
  <si>
    <t>Vip Effective Date</t>
  </si>
  <si>
    <t>VIP_EFF_DT</t>
  </si>
  <si>
    <t>Ngày hiệu lực khách hàng vip</t>
  </si>
  <si>
    <t>Employee Code</t>
  </si>
  <si>
    <t>EMPE_CODE</t>
  </si>
  <si>
    <t>Mã nhân viên giới thiệu</t>
  </si>
  <si>
    <t>SHRT_NM</t>
  </si>
  <si>
    <t>Tên viết tắt khách hàng</t>
  </si>
  <si>
    <t>CST_NM</t>
  </si>
  <si>
    <t>Tên khách hàng đầy đủ</t>
  </si>
  <si>
    <t>Mã phân loại khách hàng</t>
  </si>
  <si>
    <t>CST_GRP_CODE</t>
  </si>
  <si>
    <t>Khối quản lý khách hàng</t>
  </si>
  <si>
    <t>MAKER_OFCR_CODE</t>
  </si>
  <si>
    <t>MAKER_OFCR</t>
  </si>
  <si>
    <t>Mã nhân viên hạch toán</t>
  </si>
  <si>
    <t>CTY_NM</t>
  </si>
  <si>
    <t>Quốc gia cư trú hiện tại</t>
  </si>
  <si>
    <t>CST_ST_CODE</t>
  </si>
  <si>
    <t>Trạng thái khách hàng</t>
  </si>
  <si>
    <t>Country Name 2</t>
  </si>
  <si>
    <t>CTY_NM_2</t>
  </si>
  <si>
    <t>Quốc gia thường trú</t>
  </si>
  <si>
    <t>CTY_OF_CTZN_CODE</t>
  </si>
  <si>
    <t>Quốc tịch</t>
  </si>
  <si>
    <t>OCP_CODE</t>
  </si>
  <si>
    <t>Nghề nghiệp khách hàng</t>
  </si>
  <si>
    <t>ELC_ADR_VAL</t>
  </si>
  <si>
    <t>Email Adress</t>
  </si>
  <si>
    <t>EMAIL_ADRESS</t>
  </si>
  <si>
    <t>Địa chỉ email</t>
  </si>
  <si>
    <t>VIP_F</t>
  </si>
  <si>
    <t>Đánh dấu khách hàng vip</t>
  </si>
  <si>
    <t>KYC_CNL_CODE</t>
  </si>
  <si>
    <t>CST_LCS_CODE</t>
  </si>
  <si>
    <t>Trạng thái hoạt động</t>
  </si>
  <si>
    <t>STR_NM</t>
  </si>
  <si>
    <t>Tên đường đầy đủ theo địa chỉ</t>
  </si>
  <si>
    <t>IDENTN_TP_CODE</t>
  </si>
  <si>
    <t>Chi nhánh mở CIF</t>
  </si>
  <si>
    <t>Chi nhánh quản lý khách hàng</t>
  </si>
  <si>
    <t>Mã quốc gia</t>
  </si>
  <si>
    <t>ISSU_PLC_CODE</t>
  </si>
  <si>
    <t>MBL_BNKG_F</t>
  </si>
  <si>
    <t>Đánh dấu sử dụng dịch vụ mobile banking</t>
  </si>
  <si>
    <t>INN_BNKG_F</t>
  </si>
  <si>
    <t>Đánh dấu sử dụng dịch vụ internet banking</t>
  </si>
  <si>
    <t>AML_RSLT</t>
  </si>
  <si>
    <t>AML_CHK_F</t>
  </si>
  <si>
    <t>Đánh dấu liên quan tới hệ thống Phòng Chống rửa tiền</t>
  </si>
  <si>
    <t>IDV_EMP_ST_CODE</t>
  </si>
  <si>
    <t>Tình trạng làm việc</t>
  </si>
  <si>
    <t>JNT_LBY_F</t>
  </si>
  <si>
    <t>Đánh dấu nợ liên đới</t>
  </si>
  <si>
    <t>CST_FNC_ST_CODE</t>
  </si>
  <si>
    <t>ANUL_INCM</t>
  </si>
  <si>
    <t>PROV_NM</t>
  </si>
  <si>
    <t>Province Name</t>
  </si>
  <si>
    <t>IDY_LV1_CL_CODE</t>
  </si>
  <si>
    <t>REFR_CODE</t>
  </si>
  <si>
    <t xml:space="preserve"> </t>
  </si>
  <si>
    <t>CITY_NM</t>
  </si>
  <si>
    <t>VSS_CODE</t>
  </si>
  <si>
    <t>Mã bảo hiểm xã hội</t>
  </si>
  <si>
    <t>Home Number</t>
  </si>
  <si>
    <t>HM_NBR</t>
  </si>
  <si>
    <t>Số điện thoại nhà riêng</t>
  </si>
  <si>
    <t>Mobile Number</t>
  </si>
  <si>
    <t>MBL_NBR</t>
  </si>
  <si>
    <t>IDY_LV2_CL_CODE</t>
  </si>
  <si>
    <t>UNION ALL</t>
  </si>
  <si>
    <t>SO_CIF</t>
  </si>
  <si>
    <t>NGAY_MO_CIF</t>
  </si>
  <si>
    <t>NGAY_CAP_GTTT</t>
  </si>
  <si>
    <t>SO_GPDN</t>
  </si>
  <si>
    <t>MST_CN</t>
  </si>
  <si>
    <t>NGAY_CAP_GPDN</t>
  </si>
  <si>
    <t>EXP_DATE</t>
  </si>
  <si>
    <t>GIOI_TINH</t>
  </si>
  <si>
    <t>MST_DN</t>
  </si>
  <si>
    <t>ESTB_DT</t>
  </si>
  <si>
    <t>NGAY_SINH</t>
  </si>
  <si>
    <t>HANG_KH_VIP</t>
  </si>
  <si>
    <t>NGAY_HL_KHVIP</t>
  </si>
  <si>
    <t>STAFF_ID</t>
  </si>
  <si>
    <t>arr_shd</t>
  </si>
  <si>
    <t>arr_shd.ar_avy_shd_type = 'LOAN_PD_SHD' 
 and ${etl_date} &lt;= eff_mat_dt</t>
  </si>
  <si>
    <t>arr_loan</t>
  </si>
  <si>
    <t>arr_shd.AR_ID
=arr_loan.AR_ID</t>
  </si>
  <si>
    <t>arr_prfl</t>
  </si>
  <si>
    <t>Term</t>
  </si>
  <si>
    <t>Glossary</t>
  </si>
  <si>
    <t>${etl_date}</t>
  </si>
  <si>
    <t>Interface Loan Repayment Schedule</t>
  </si>
  <si>
    <t xml:space="preserve">Ngày snapshot </t>
  </si>
  <si>
    <t>Ngày dữ liệu trong dwh</t>
  </si>
  <si>
    <t>Customer ID</t>
  </si>
  <si>
    <t>Mã số định danh duy nhất của khách hàng trên dwh</t>
  </si>
  <si>
    <t>Key định danh trong dwh</t>
  </si>
  <si>
    <t>T24CORE.RECID</t>
  </si>
  <si>
    <t>Mã tài khoản vay</t>
  </si>
  <si>
    <t>Mã hợp đồng vay</t>
  </si>
  <si>
    <t xml:space="preserve">Chi nhánh hạch toán </t>
  </si>
  <si>
    <t>Ngày đáo hạn thực tế</t>
  </si>
  <si>
    <t>Ngày hiệu lực của lịch trả nợ</t>
  </si>
  <si>
    <t>Payable Amount  Type</t>
  </si>
  <si>
    <t>Loại tiền phải trả:
 Gốc phải trả (Principal Due)
 Lãi phải trả (Interest Due)
 Lãi quá hạn (Past-due Interest)
 Lãi phạt (Penalty Interest)</t>
  </si>
  <si>
    <t>Số tiền phải trả mỗi kỳ quy đổi</t>
  </si>
  <si>
    <t>Số tiền phải trả mỗi kỳ nguyên tệ</t>
  </si>
  <si>
    <t>'DUE'</t>
  </si>
  <si>
    <t>Lending Repayment Type</t>
  </si>
  <si>
    <t>LND_REPYMT_TP</t>
  </si>
  <si>
    <t>char</t>
  </si>
  <si>
    <t>Phân loại bút toán ( PAID/DUE)</t>
  </si>
  <si>
    <t>F_LAST_OD_DT</t>
  </si>
  <si>
    <t>Cờ đánh dấu kỳ trả nợ gần nhất</t>
  </si>
  <si>
    <t>LAST_OD_DT</t>
  </si>
  <si>
    <t>FCC_VAL_DT</t>
  </si>
  <si>
    <t>Ngày tạo bút toán ( booking_date)</t>
  </si>
  <si>
    <t>MAT_DT</t>
  </si>
  <si>
    <t>Ngày đáo hạn trên hợp đồng</t>
  </si>
  <si>
    <t>Ngày đáo hạn hợp đồng vay</t>
  </si>
  <si>
    <t>GL_ITM_CODE</t>
  </si>
  <si>
    <t>General Ledger Item Code</t>
  </si>
  <si>
    <t>Số tài khoản SBV</t>
  </si>
  <si>
    <t>cus.ASSET_CLASS</t>
  </si>
  <si>
    <t>Coalese(cst_org.asset_class,cst_idv.asset_class,1)</t>
  </si>
  <si>
    <t xml:space="preserve">Cic Loan Group </t>
  </si>
  <si>
    <t>CIC_LOAN_GRP</t>
  </si>
  <si>
    <t xml:space="preserve">Phân loại nhóm nợ khách hàng </t>
  </si>
  <si>
    <t>cst.vn_full_name</t>
  </si>
  <si>
    <t>Customer Full Name</t>
  </si>
  <si>
    <t>CST_FULL_NM</t>
  </si>
  <si>
    <t xml:space="preserve">Full tên của Khách hàng </t>
  </si>
  <si>
    <t xml:space="preserve">where </t>
  </si>
  <si>
    <t xml:space="preserve">join </t>
  </si>
  <si>
    <t>a.AR_ID = b.AR_ID</t>
  </si>
  <si>
    <t>a.AR_ID = c.AR_ID</t>
  </si>
  <si>
    <t>d</t>
  </si>
  <si>
    <t>a.AR_ID = d.AR_ID</t>
  </si>
  <si>
    <t xml:space="preserve">left join </t>
  </si>
  <si>
    <t>a.AR_ID = e.AR_ID</t>
  </si>
  <si>
    <t>e1</t>
  </si>
  <si>
    <t>e1.ORIG_AR_ID = a.AR_ID</t>
  </si>
  <si>
    <t xml:space="preserve"> (SELECT 
 ORIG_AR_ID
   ,SUM(${ETL_DATE} - e.PNP_PAST_DUE_DT) + 1 AS SO_NGAY_QH_GOC
   ,SUM(${ETL_DATE} - e.INT_PAST_DUE_DT) + 1 AS SO_NGAY_QH_LAI
,GREATEST(NVL(SUM(${ETL_DATE} - e.PNP_PAST_DUE_DT),0),NVL(SUM(${ETL_DATE} - e.INT_PAST_DUE_DT),0)) +1 AS SONGAY_QHAN_CAONHAT
 ,SUM(nvl(e.ADDITION_DYS_IN_ARS,0)) as SNQH_CHUYENDOI
FROM PG_SILVER.AR_DLQ_SMY e 
  GROUP BY ORIG_AR_ID) e1</t>
  </si>
  <si>
    <t>EXG_RATE_HIST</t>
  </si>
  <si>
    <t xml:space="preserve"> b.CCY_CODE = f.FRST_CCY_CODE</t>
  </si>
  <si>
    <t>i</t>
  </si>
  <si>
    <t>a.OU_CODE = i.OU_CODE</t>
  </si>
  <si>
    <t>k</t>
  </si>
  <si>
    <t>a.AR_ID = k.ORIG_AR_ID</t>
  </si>
  <si>
    <t>(SELECT 
ORIG_AR_ID
,SUM(TOT_ACR_INT_AMT_FCY) TOT_ACR_INT_AMT_FCY
,SUM(TOT_INT_PAID_AMT_FCY) TOT_INT_PAID_AMT_FCY
,SUM(TOT_INT_DUE_AMT_FCY) TOT_INT_DUE_AMT_FCY
,SUM(TOT_INT_ODUE_AMT_FCY) TOT_INT_ODUE_AMT_FCY
FROM PG_SILVER.AST_AR_INT_SMY
GROUP BY ORIG_AR_ID) k</t>
  </si>
  <si>
    <t>EFF_DT</t>
  </si>
  <si>
    <t>Ngày hiệu lực của hợp đồng</t>
  </si>
  <si>
    <t>PD_CGY_CODE</t>
  </si>
  <si>
    <t>PPR_CTR_NBR</t>
  </si>
  <si>
    <t>Mã hồ sơ</t>
  </si>
  <si>
    <t>Số hợp đồng giấy</t>
  </si>
  <si>
    <t>MA_CRA</t>
  </si>
  <si>
    <t>SUB_PD_CODE</t>
  </si>
  <si>
    <t>SUB_PRODUCT</t>
  </si>
  <si>
    <t>AR_LCS_TP_CODE</t>
  </si>
  <si>
    <t>Trạng thái hợp đồng</t>
  </si>
  <si>
    <t>MUD_CODE</t>
  </si>
  <si>
    <t>MODULE</t>
  </si>
  <si>
    <t>FNC_ST_CODE</t>
  </si>
  <si>
    <t>Nhóm nợ khách hàng</t>
  </si>
  <si>
    <t>Ngày đáo hạn hợp đồng</t>
  </si>
  <si>
    <t>'0'</t>
  </si>
  <si>
    <t>nvl(b.FCC_VAL_DT, b.EFF_DT)</t>
  </si>
  <si>
    <t>VAL_DT</t>
  </si>
  <si>
    <t>ORG_VALUE_DATE</t>
  </si>
  <si>
    <t>null</t>
  </si>
  <si>
    <t>DRAWDOWN_ACCOUNT</t>
  </si>
  <si>
    <t>AR_TERM_TP_CODE</t>
  </si>
  <si>
    <t>Mã nhóm kỳ hạn</t>
  </si>
  <si>
    <t>Loại kỳ hạn</t>
  </si>
  <si>
    <t>LMT_CODE</t>
  </si>
  <si>
    <t>LIMIT_REFFERENCE</t>
  </si>
  <si>
    <t>INT_KEY</t>
  </si>
  <si>
    <t>INTEREST_KEY</t>
  </si>
  <si>
    <t>INT_SPRD</t>
  </si>
  <si>
    <t>INT_LQD_AR_CODE</t>
  </si>
  <si>
    <t>Interest Liquid Arrangement Code</t>
  </si>
  <si>
    <t>Phương thức thanh toán lãi</t>
  </si>
  <si>
    <t>FCC_AR_CODE</t>
  </si>
  <si>
    <t>Mã hợp đồng trong FCC</t>
  </si>
  <si>
    <t>PNY_RATE</t>
  </si>
  <si>
    <t>Lãi suất phạt</t>
  </si>
  <si>
    <t>ODUE_INT_RATE</t>
  </si>
  <si>
    <t>Lãi suất quá hạn</t>
  </si>
  <si>
    <t>INT_TP</t>
  </si>
  <si>
    <t>INTEREST_TYPE</t>
  </si>
  <si>
    <t>INT_BSS</t>
  </si>
  <si>
    <t>INTEREST_BASIS</t>
  </si>
  <si>
    <t>INT_FIX</t>
  </si>
  <si>
    <t>INTEREST_FIX</t>
  </si>
  <si>
    <t>RATE</t>
  </si>
  <si>
    <t>Transaction Date</t>
  </si>
  <si>
    <t>TXN_DT</t>
  </si>
  <si>
    <t>ODUE_PR_AMT</t>
  </si>
  <si>
    <t>OVERDUE_PR_AMOUNT</t>
  </si>
  <si>
    <t>Overdue Intersest Amount</t>
  </si>
  <si>
    <t>ODUE_IN_AMT</t>
  </si>
  <si>
    <t>Lãi quá hạn</t>
  </si>
  <si>
    <t>Lãi quá hạn</t>
  </si>
  <si>
    <t>OVERDUE_IN_AMOUNT</t>
  </si>
  <si>
    <t>ODUE_PE_AMT</t>
  </si>
  <si>
    <t>OVERDUE_PE_AMOUNT</t>
  </si>
  <si>
    <t>ODUE_PS_AMT</t>
  </si>
  <si>
    <t>OVERDUE_PS_AMOUNT</t>
  </si>
  <si>
    <t>MRGN_RATE</t>
  </si>
  <si>
    <t>Mã sản phẩm vay</t>
  </si>
  <si>
    <t>DSBR_PRPSL_OFCR</t>
  </si>
  <si>
    <t>Cán bộ giải ngân</t>
  </si>
  <si>
    <t>DSBR_PRPSL_MGR</t>
  </si>
  <si>
    <t>Trưởng nhóm giải ngân</t>
  </si>
  <si>
    <t>MGT_OFCR</t>
  </si>
  <si>
    <t>Cán bộ quản lý khoản vay</t>
  </si>
  <si>
    <t>Cán bộ quản lý khoản vay</t>
  </si>
  <si>
    <t>MGT_MGR</t>
  </si>
  <si>
    <t>Người quản lý khoản vay</t>
  </si>
  <si>
    <t>Trưởng nhóm quản lý khoản vay</t>
  </si>
  <si>
    <t>APRV_AHR</t>
  </si>
  <si>
    <t>Cấp phê duyệt giải ngân</t>
  </si>
  <si>
    <t>Cán bộ phê duyệt giải ngân</t>
  </si>
  <si>
    <t>DBT_WVR_F</t>
  </si>
  <si>
    <t>Đánh dấu cơ cấu miễn giảm lãi</t>
  </si>
  <si>
    <t>Cờ đánh dấu được miễn giảm</t>
  </si>
  <si>
    <t>NBR_OF_DBT_RSTC</t>
  </si>
  <si>
    <t>Số lần cơ cấu</t>
  </si>
  <si>
    <t>AR_PPS_TP_CODE</t>
  </si>
  <si>
    <t>Arrangement purpose by product</t>
  </si>
  <si>
    <t>AR_PPS_BY_PD</t>
  </si>
  <si>
    <t>Mã sản phẩm theo mục đích vay</t>
  </si>
  <si>
    <t>Mục đích vay sản phẩm
--&gt; ko có trường này</t>
  </si>
  <si>
    <t>AR_DLQ_SMY e1</t>
  </si>
  <si>
    <t>SO_NGAY_QH_GOC</t>
  </si>
  <si>
    <t>Days in principal arrears</t>
  </si>
  <si>
    <t>DYS_IN_PNP_ARS</t>
  </si>
  <si>
    <t>Số ngày gốc quá hạn</t>
  </si>
  <si>
    <t>Số ngày gốc quá hạn
==&gt; không thấy cột này, có phải cột "PNP_PAST_DUE_DYS" này không</t>
  </si>
  <si>
    <t>SO_NGAY_QH_LAI</t>
  </si>
  <si>
    <t>Days in interest arrears</t>
  </si>
  <si>
    <t>DYS_IN_INT_ARS</t>
  </si>
  <si>
    <t>Số́ ngày lãi quá hạn</t>
  </si>
  <si>
    <t>Số ngày lãi quá hạn
==&gt; không thấy cột này, có phải cột này "INT_PAST_DUE_DYS" không</t>
  </si>
  <si>
    <t>nvl(k.TOT_INT_DUE_AMT_FCY,0)+
nvl(TOT_INT_ODUE_AMT_FCY,0)</t>
  </si>
  <si>
    <t>Total Interest Arrears</t>
  </si>
  <si>
    <t>TOT_INT_ARS</t>
  </si>
  <si>
    <t>Tổng lãi phải trả</t>
  </si>
  <si>
    <t>Tổng lãi phải trả nguyên tệ
--&gt; có phải là cột TOT_INT_AMT_FCY</t>
  </si>
  <si>
    <t>TONG_LAI_PHAI_TRA</t>
  </si>
  <si>
    <t>ID của khách hàng</t>
  </si>
  <si>
    <t>TEN_KHACHHANG</t>
  </si>
  <si>
    <t>join sang INF_CST</t>
  </si>
  <si>
    <t>MID_RATE</t>
  </si>
  <si>
    <t>Mid Rate</t>
  </si>
  <si>
    <t>Tỷ giá</t>
  </si>
  <si>
    <t>Tỷ giá cuối ngày</t>
  </si>
  <si>
    <t>AMT_LCY</t>
  </si>
  <si>
    <t>APRV_AMT_LCY</t>
  </si>
  <si>
    <t>APPROVE_AMOUNT_LCY</t>
  </si>
  <si>
    <t>nvl(e1.SONGAY_QHAN_CAONHAT,0) + nvl(e1.SNQH_CHUYENDOI,0)</t>
  </si>
  <si>
    <t>Maximum days in arrears</t>
  </si>
  <si>
    <t>MX_DYS_IN_ARS</t>
  </si>
  <si>
    <t>Số ngày quá hạn cao nhất</t>
  </si>
  <si>
    <t>Số ngày quá hạn cao nhất 
==&gt; không có cột này, có phải cột "MX_PAST_DUE_DYS" không</t>
  </si>
  <si>
    <t>SONGAY_QHAN_CAONHAT</t>
  </si>
  <si>
    <t>Tổng lãi đã trả</t>
  </si>
  <si>
    <t>Tổng lãi đã trả nguyên tệ</t>
  </si>
  <si>
    <t>TONG_LAI_DA_TRA</t>
  </si>
  <si>
    <t>NHOM_NO_HOPDONG</t>
  </si>
  <si>
    <t>rule giống CREDIT_STATUS</t>
  </si>
  <si>
    <t>NO_LIENDOI</t>
  </si>
  <si>
    <t>FCC_LMT_CODE</t>
  </si>
  <si>
    <t>Mã hạn mức trong Flexcube</t>
  </si>
  <si>
    <t>MA_HAN_MUC_FCC</t>
  </si>
  <si>
    <t>MAKER_OFCR_CODE
MAKER_OFCR</t>
  </si>
  <si>
    <t>Cán bộ nhập hồ sơ</t>
  </si>
  <si>
    <t>CHKER_OFCR_CODE
CHKER_OFCR</t>
  </si>
  <si>
    <t>Cán bộ phê duyệt</t>
  </si>
  <si>
    <t>case when b.FCC_AR_CODE is not null then SUBSTR(c.AR_PPS_BY_IDY,2, LENGTH(c.AR_PPS_BY_IDY)) else b.AR_PPS_TP_CODE</t>
  </si>
  <si>
    <t>AR_PPS_GRP_CODE</t>
  </si>
  <si>
    <t>LOS_CTR_CODE</t>
  </si>
  <si>
    <t>Mã hợp đồng trong LOS</t>
  </si>
  <si>
    <t>LOS_CTR_ID</t>
  </si>
  <si>
    <t>ID định danh trong LOS</t>
  </si>
  <si>
    <t>DBT_RSTC_TP_CODE</t>
  </si>
  <si>
    <t>Loại cơ cấu</t>
  </si>
  <si>
    <t>Loại cơ cấu</t>
  </si>
  <si>
    <t>LOAI_CO_CAU</t>
  </si>
  <si>
    <t>case when</t>
  </si>
  <si>
    <t>CAR_AP_CODE</t>
  </si>
  <si>
    <t>Car Application Code</t>
  </si>
  <si>
    <t>Mã hồ sơ đăng ký vay vốn mua xe</t>
  </si>
  <si>
    <t>MA_HS_LOS</t>
  </si>
  <si>
    <t>Loạ̣i hình chứng khoán</t>
  </si>
  <si>
    <t>Loại hình chứng khoán</t>
  </si>
  <si>
    <t>LOAI_HINH_CK</t>
  </si>
  <si>
    <t>MAND_REPYMT</t>
  </si>
  <si>
    <t>Khoản trả nợ bắt buộc</t>
  </si>
  <si>
    <t>NHANNO_BATBUOC</t>
  </si>
  <si>
    <t>LOS_CTR_NBR</t>
  </si>
  <si>
    <t>Số hợp đồng trong LOS</t>
  </si>
  <si>
    <t>PROM_PRGM</t>
  </si>
  <si>
    <t>Chương trình ưu đãi</t>
  </si>
  <si>
    <t>CHUONG_TRINH_KHUYEN_MAI</t>
  </si>
  <si>
    <t>PROM_PRGM_2</t>
  </si>
  <si>
    <t>Chương trình ưu đãi 2</t>
  </si>
  <si>
    <t>LOAI_HINH_KT</t>
  </si>
  <si>
    <t>COVID19_RSTC_COMPL_DT</t>
  </si>
  <si>
    <t>Ngày hết hạn cơ cấu</t>
  </si>
  <si>
    <t>Ngày hết hiệu lực cơ cấu Covid</t>
  </si>
  <si>
    <t>NGAY_HET_HAN_COCAU</t>
  </si>
  <si>
    <t>NGAY_THANH_TOAN_GOC_TIEPTHEO</t>
  </si>
  <si>
    <t>Ngày thanh toán gốc tiếp theo</t>
  </si>
  <si>
    <t>SO_TIEN_THUNO_GOC</t>
  </si>
  <si>
    <t>Số tiền thu nợ gốc</t>
  </si>
  <si>
    <t>NGAY_THANH_TOAN_LAI</t>
  </si>
  <si>
    <t>Ngày thanh toán lãi</t>
  </si>
  <si>
    <t>MA_NGANH_KT_CHA</t>
  </si>
  <si>
    <t>MA_NGANH_KT_CON</t>
  </si>
  <si>
    <t>CASE WHEN  MUD_CODE = 'LD' THEN abs(RCVB_AMT_LCY)  ELSE 0 END</t>
  </si>
  <si>
    <t>Total Accrued Interest Due Amount</t>
  </si>
  <si>
    <t>TOT_ACR_INT_DUE_AMT</t>
  </si>
  <si>
    <t>Lãi dự thu trong hạn</t>
  </si>
  <si>
    <t>Lãi dự thu trong hạn</t>
  </si>
  <si>
    <t>DUTHU_TRONG_HAN</t>
  </si>
  <si>
    <t>Lãi dự thu tiếp theo</t>
  </si>
  <si>
    <t>Không có cột này</t>
  </si>
  <si>
    <t>LAI_DTHU_TIEPTHEO</t>
  </si>
  <si>
    <t>Rule giống DUTHU_TRONG_HAN</t>
  </si>
  <si>
    <t>DTHU_CONLAI_DUKIEN_KYGANNHAT</t>
  </si>
  <si>
    <t>OU_NM</t>
  </si>
  <si>
    <t>Tên chi nhánh</t>
  </si>
  <si>
    <t>nvl(e1.SNQH_CHUYENDOI,0)</t>
  </si>
  <si>
    <t>Số ngày quá hạn chuyển đổi</t>
  </si>
  <si>
    <t>a.AR_CODE = b.AR_CODE</t>
  </si>
  <si>
    <t>AR_X_IP_RLTNP</t>
  </si>
  <si>
    <t>a.AR_CODE = c.AR_CODE</t>
  </si>
  <si>
    <t>b.REFRRER_OFCR = d.EMPE_CODE</t>
  </si>
  <si>
    <t>a.AR_CODE = e.AR_CODE</t>
  </si>
  <si>
    <t>a.PD_CODE = f.PD_CODE</t>
  </si>
  <si>
    <t>:ETL_DATE</t>
  </si>
  <si>
    <t>COALESCE(a.VAL_DT,a.EFF_DT)</t>
  </si>
  <si>
    <t>Ngày giải ngân</t>
  </si>
  <si>
    <t>Ngày giải ngân</t>
  </si>
  <si>
    <t>Ngày đáo hạn khoản vay</t>
  </si>
  <si>
    <t>ORIG_AMT_FCY</t>
  </si>
  <si>
    <t>DECODE(a.CCY_CODE, 'VND', 1, a.EXG_RATE_TO_LCL_CCY)</t>
  </si>
  <si>
    <t>EXG_RATE_TO_LCL_CCY</t>
  </si>
  <si>
    <t>Tỷ giá</t>
  </si>
  <si>
    <t>a.ORIG_AMT_FCY  * DECODE(a.CCY_CODE, 'VND', 1, a.EXG_RATE_TO_LCL_CCY)</t>
  </si>
  <si>
    <t>ORIG_AMT_LCY</t>
  </si>
  <si>
    <t>Giá trị phê duyệt quy đổi</t>
  </si>
  <si>
    <t>EMPE_NM</t>
  </si>
  <si>
    <t>Employee Name</t>
  </si>
  <si>
    <t>Cán bộ hạch toán</t>
  </si>
  <si>
    <t>EFF_RATE_PCT</t>
  </si>
  <si>
    <t>Lãi suất vay</t>
  </si>
  <si>
    <t>AR_PPS_BY_IDY</t>
  </si>
  <si>
    <t>PRODUCT_CODE
PD_CODE</t>
  </si>
  <si>
    <t>PD_NM</t>
  </si>
  <si>
    <t>PRODUCT_NAME
PD_NM</t>
  </si>
  <si>
    <t xml:space="preserve">Tên sản phẩm </t>
  </si>
  <si>
    <t>Tên sản phẩm vay</t>
  </si>
  <si>
    <t>Kỳ hạn vay</t>
  </si>
  <si>
    <t>TYPE : SCD TYPE 1</t>
  </si>
  <si>
    <t>fn_hash("T24_CUSTOMER",RECID)</t>
  </si>
  <si>
    <t>Unique key trên DWH</t>
  </si>
  <si>
    <t>Maker Officer Code</t>
  </si>
  <si>
    <t>Checker Officer Code</t>
  </si>
  <si>
    <t>ETL_DATE if not exists CST_ID</t>
  </si>
  <si>
    <t>TYPE : TXN</t>
  </si>
  <si>
    <t>recid not like  'F%'
and COMMIT_ACTION &lt;&gt; 'D'
and BOOKING_DATE = etl_date</t>
  </si>
  <si>
    <t>CASE
        WHEN stmt.OUR_REFERENCE LIKE 'LD%' THEN stmt.OUR_REFERENCE
        WHEN stmt.OUR_REFERENCE LIKE 'PD%' THEN SUBSTR(stmt.OUR_REFERENCE, 3)
END as contract_id, *</t>
  </si>
  <si>
    <t>.</t>
  </si>
  <si>
    <t>pd</t>
  </si>
  <si>
    <t>substr(pd.RECID, 3)=stmt.contract_id</t>
  </si>
  <si>
    <t>pd.FLAG_STATUS&lt;&gt; 'DELETE' 
        AND TRUNC(to_date(DATE_TIME,'YYMMDDHH24MI')) &lt;= TO_DATE('${etl_date}','YYYYMMDD')</t>
  </si>
  <si>
    <t>fn_hash('T24_STMT_ENTRY|'|| stmt.recid)</t>
  </si>
  <si>
    <t>Posting Entry Id</t>
  </si>
  <si>
    <t>PST_ENTR_ID</t>
  </si>
  <si>
    <t>ID duy nhất của đối tượng trên DWH</t>
  </si>
  <si>
    <t>'T24_STMT_ENTRY'</t>
  </si>
  <si>
    <t>PST_ENTR_NBR</t>
  </si>
  <si>
    <t>Mã bút toán hạch toán</t>
  </si>
  <si>
    <t xml:space="preserve">
 fn_hash('T24_LD_LOANS_AND_DEPOSITS|' || stmt.OUR_REFERENCE)
</t>
  </si>
  <si>
    <t>Transaction Id</t>
  </si>
  <si>
    <t>TXN_ID</t>
  </si>
  <si>
    <t>ID của giao dịch của bút toán trên DWH</t>
  </si>
  <si>
    <t>TXN_NBR</t>
  </si>
  <si>
    <t>Số giao dịch</t>
  </si>
  <si>
    <t>ACG_CR_DB_F</t>
  </si>
  <si>
    <t>Transaction Code</t>
  </si>
  <si>
    <t>TXN_CODE</t>
  </si>
  <si>
    <t>Phân loại mã giao dịch</t>
  </si>
  <si>
    <t>PST_DT</t>
  </si>
  <si>
    <t>Ngày phát sinh bút toán</t>
  </si>
  <si>
    <t xml:space="preserve">(COALESCE(stmt.AMOUNT_FCY,0) </t>
  </si>
  <si>
    <t>PST_ENTR_AMT_FCY</t>
  </si>
  <si>
    <t>Số tiền của bút toán nguyên tệ</t>
  </si>
  <si>
    <t xml:space="preserve">(COALESCE(stmt.AMOUNT_LCY,0) </t>
  </si>
  <si>
    <t>PST_ENTR_AMT_LCY</t>
  </si>
  <si>
    <t>Số tiền của bút toán quy đổi</t>
  </si>
  <si>
    <t>Ngày hiệu lực của bút toán</t>
  </si>
  <si>
    <t>T24CORE_LD_LOANS_AND_DEPOSITS,
T24CORE_PD_PAYMENT_DUE_MV</t>
  </si>
  <si>
    <t>ld.CO_CODE, 
pd.CO_CODE</t>
  </si>
  <si>
    <t>NVL(ld.CO_CODE, pd.CO_CODE)</t>
  </si>
  <si>
    <t>Số hợp đồng liên quan</t>
  </si>
  <si>
    <t>ID hợp đồng duy nhất liên quan trên DWH</t>
  </si>
  <si>
    <t>Customer Number</t>
  </si>
  <si>
    <t>CST_NBR</t>
  </si>
  <si>
    <t>Mã số khách hàng</t>
  </si>
  <si>
    <t>Accounting Product Category</t>
  </si>
  <si>
    <t>ACG_PD_CGY</t>
  </si>
  <si>
    <t>PST_ENTR_DSC</t>
  </si>
  <si>
    <t>Consol Key</t>
  </si>
  <si>
    <t>MOD_CODE</t>
  </si>
  <si>
    <t>Mã phân hệ giao dịch</t>
  </si>
  <si>
    <t>Posting Entry Component</t>
  </si>
  <si>
    <t>PST_ENTR_CMPT</t>
  </si>
  <si>
    <t>Phân loại thành phần giao dịch bút toán</t>
  </si>
  <si>
    <t>ACG_DT</t>
  </si>
  <si>
    <t>Ngày hạch toán của bút toán</t>
  </si>
  <si>
    <t>AC_ID</t>
  </si>
  <si>
    <t>ID tài khoản hạch toán trên DWH</t>
  </si>
  <si>
    <t>BAL_TP</t>
  </si>
  <si>
    <t>CARD_NBR</t>
  </si>
  <si>
    <t>CMMT_ACTN</t>
  </si>
  <si>
    <t>CMMT_TMS</t>
  </si>
  <si>
    <t>TIMESTAMP</t>
  </si>
  <si>
    <t>Thời gian ghi nhận thay đổi bản ghi trên hệ thống</t>
  </si>
  <si>
    <t>CGY_PD_CODE</t>
  </si>
  <si>
    <t>CRN_NBR</t>
  </si>
  <si>
    <t>CYC_FWD</t>
  </si>
  <si>
    <t>Chu kỳ</t>
  </si>
  <si>
    <t>DT_TM</t>
  </si>
  <si>
    <t>DEPT_CODE</t>
  </si>
  <si>
    <t>DRN_AC</t>
  </si>
  <si>
    <t>INR_CGY</t>
  </si>
  <si>
    <t>LCL_REFR</t>
  </si>
  <si>
    <t>ORIG_AC</t>
  </si>
  <si>
    <t>ORIG_AMT</t>
  </si>
  <si>
    <t>ORIG_CCY</t>
  </si>
  <si>
    <t>ORIG_EXG_RATE</t>
  </si>
  <si>
    <t>OTSND_BAL</t>
  </si>
  <si>
    <t xml:space="preserve">Override </t>
  </si>
  <si>
    <t>OVRD</t>
  </si>
  <si>
    <t>Ghi đè</t>
  </si>
  <si>
    <t>PCS_FWD</t>
  </si>
  <si>
    <t>Tiến trình</t>
  </si>
  <si>
    <t>RCRD_ST</t>
  </si>
  <si>
    <t>REPYMT_AMT</t>
  </si>
  <si>
    <t>REPYMT_DT</t>
  </si>
  <si>
    <t>REPYMT_TP</t>
  </si>
  <si>
    <t>SUSP_CGY</t>
  </si>
  <si>
    <t>SUSP_VAL_DT</t>
  </si>
  <si>
    <t xml:space="preserve">                                                   </t>
  </si>
  <si>
    <t>T24CORE_CURRENCY</t>
  </si>
  <si>
    <t>CUR</t>
  </si>
  <si>
    <t>SELECT
        id AS FRST_CCY_CODE,
        'VND' AS SCD_CCY_CODE,
        COALESCE(CAST(REGEXP_SUBSTR(CUR.MID_REVAL_RATE, '[^#]+') AS int), 1) AS mid_reval_rate,
        DATE_TIME AS date_time_value,
        999999 AS curr_no,
        RANK() OVER (PARTITION BY id ORDER BY DATE_TIME DESC) AS rn
FROM PG_T24CORE.CURRENCY cur
WHERE TO_TIMESTAMP(TO_CHAR(DATE_TIME), 'YYMMDDHH24MI') &lt; etl_date+1</t>
  </si>
  <si>
    <t>T24CORE_CURRENCY_HIS</t>
  </si>
  <si>
    <t>CUR_HIS</t>
  </si>
  <si>
    <t>SELECT
        REGEXP_SUBSTR(ch.id, '[^;]+') AS FRST_CCY_CODE,
        'VND' AS SCD_CCY_CODE,
        COALESCE(CAST(CH.MID_REVAL_RATE AS int), 1) AS mid_reval_rate,
        DATE_TIME AS date_time_value,
        curr_no,
        RANK() OVER (PARTITION BY REGEXP_SUBSTR(ch.id, '[^;]+') ORDER BY DATE_TIME DESC) AS rn
FROM PG_T24CORE.CURRENCY_his
WHERE TO_TIMESTAMP(TO_CHAR(DATE_TIME), 'YYMMDDHH24MI') &lt; etl_date+1 --AND DATE_TIME &gt;1000000000</t>
  </si>
  <si>
    <t>CUR_MAIN</t>
  </si>
  <si>
    <t>SELECT FRST_CCY_CODE,SCD_CCY_CODE,mid_reval_rate,date_time_value
FROM (SELECT 
        FRST_CCY_CODE, SCD_CCY_CODE, mid_reval_rate, date_time_value, 
                RANK() OVER (PARTITION BY FRST_CCY_CODE ORDER BY curr_no DESC) AS rank
    FROM (
        SELECT * FROM cur WHERE rn = 1
        UNION ALL
        SELECT * FROM cur_his WHERE rn = 1) ) 
WHERE rank = 1</t>
  </si>
  <si>
    <t>Snapshot Date</t>
  </si>
  <si>
    <t>SNPST_DT</t>
  </si>
  <si>
    <t>T24_CURRENCY'</t>
  </si>
  <si>
    <t>FRST_CCY_CODE</t>
  </si>
  <si>
    <t>First Currency Code</t>
  </si>
  <si>
    <t>Mã loại tiền tệ gốc</t>
  </si>
  <si>
    <t>SCD_CCY_CODE</t>
  </si>
  <si>
    <t>Seconde Currency Code</t>
  </si>
  <si>
    <t>Mã loại tiền tệ tính tỷ giá</t>
  </si>
  <si>
    <t>MID_REVAL_RATE</t>
  </si>
  <si>
    <t>Tỷ giá mid</t>
  </si>
  <si>
    <t>(LEFT JOIN) ON a.AR_ID = b.AR_ID</t>
  </si>
  <si>
    <t>to_char(ETL_CHANGE_DATE,"YYYYMMDD") + Arrangement ID</t>
  </si>
  <si>
    <t>Dimension key</t>
  </si>
  <si>
    <t>DIM_KEY</t>
  </si>
  <si>
    <t>Key của bảng</t>
  </si>
  <si>
    <t>Mã nhóm mục đích vay</t>
  </si>
  <si>
    <t>Mã mụ̣c đích vay</t>
  </si>
  <si>
    <t>Giá trị phê duyệt</t>
  </si>
  <si>
    <t>Mã phân loại sản phẩm</t>
  </si>
  <si>
    <t>Promotion Code</t>
  </si>
  <si>
    <t>PROM_CODE</t>
  </si>
  <si>
    <t>Mã chương trình KM cho vay</t>
  </si>
  <si>
    <t>Promotion Code 2</t>
  </si>
  <si>
    <t>PROM_CODE_2</t>
  </si>
  <si>
    <t>Kỳ hạn</t>
  </si>
  <si>
    <t>Ngày hiệu lực đầu tiên của hợp đồng</t>
  </si>
  <si>
    <t>Ngaày hiệu lực hợp đồng</t>
  </si>
  <si>
    <t>OU_ID</t>
  </si>
  <si>
    <t>concat(to_char(ETL_CHANGE_DATE,"YYYYMMDD"),OU_ID)</t>
  </si>
  <si>
    <t>Organization Unit ID</t>
  </si>
  <si>
    <t>ID của chi nhánh</t>
  </si>
  <si>
    <t>Mã chi nhánh</t>
  </si>
  <si>
    <t>l</t>
  </si>
  <si>
    <t>LMT_ID</t>
  </si>
  <si>
    <t>concat(to_char(ETL_CHANGE_DATE,"YYYYMMDD"),l.LMT_ID)</t>
  </si>
  <si>
    <t>Limit ID</t>
  </si>
  <si>
    <t>ID của hạn mức</t>
  </si>
  <si>
    <t>Limit Code</t>
  </si>
  <si>
    <t>Mã hạn mức</t>
  </si>
  <si>
    <t>LMT_DSC</t>
  </si>
  <si>
    <t>Limit Description</t>
  </si>
  <si>
    <t>Mô tả hạn mức</t>
  </si>
  <si>
    <t>cur</t>
  </si>
  <si>
    <t>CCY_ID</t>
  </si>
  <si>
    <t>concat(to_char(ETL_CHANGE_DATE,"YYYYMMDD"),cur.CCY_ID)</t>
  </si>
  <si>
    <t>Currency ID</t>
  </si>
  <si>
    <t>Mã duy nhất của loại tiền trên DWH</t>
  </si>
  <si>
    <t xml:space="preserve">Mã loại tiền </t>
  </si>
  <si>
    <t>CCY_NM</t>
  </si>
  <si>
    <t>Currency Name</t>
  </si>
  <si>
    <t xml:space="preserve">Tên loại tiền </t>
  </si>
  <si>
    <t>NUMERIC_CCY_CODE</t>
  </si>
  <si>
    <t>Numeric Currency Code</t>
  </si>
  <si>
    <t xml:space="preserve">Mã tiền tệ dạng số </t>
  </si>
  <si>
    <t>WHERE CL_SCM_CODE = 'LOAN_RSTC_TP'</t>
  </si>
  <si>
    <t>concat(to_char(ETL_CHANGE_DATE,"YYYYMMDD"),CL_ID)</t>
  </si>
  <si>
    <t>CL_ID</t>
  </si>
  <si>
    <t>Restructure Type ID</t>
  </si>
  <si>
    <t>RSTC_TP_ID</t>
  </si>
  <si>
    <t>Mã duy nhất của loại cơ cấu trên DWH</t>
  </si>
  <si>
    <t>CL_CODE</t>
  </si>
  <si>
    <t>Restructure Type Code</t>
  </si>
  <si>
    <t>RSTC_TP_CODE</t>
  </si>
  <si>
    <t>Mã loại cơ cấu</t>
  </si>
  <si>
    <t>CL_DSC</t>
  </si>
  <si>
    <t>Restructure Type Description</t>
  </si>
  <si>
    <t>RSTC_TP_DSC</t>
  </si>
  <si>
    <t>Mô tả loại cơ cấu</t>
  </si>
  <si>
    <t>cst</t>
  </si>
  <si>
    <t xml:space="preserve">main   </t>
  </si>
  <si>
    <t>idv</t>
  </si>
  <si>
    <t xml:space="preserve">sub </t>
  </si>
  <si>
    <t>cst.cst_id=idv.cst.cst_id</t>
  </si>
  <si>
    <t>org</t>
  </si>
  <si>
    <t>cst.cst_id=org.cst.cst_id</t>
  </si>
  <si>
    <t>concat(to_char(ETL_CHANGE_DATE,"YYYYMMDD"),cst_id)</t>
  </si>
  <si>
    <t>Tên khách hàng</t>
  </si>
  <si>
    <t>IDV_PRFL,
ORG_PRFL</t>
  </si>
  <si>
    <t>nvl(idv.IDY_LV1_CL_CODE,org.IDY_LV1_CL_CODE)</t>
  </si>
  <si>
    <t>nvl(idv.IDY_LV2_CL_CODE,org.IDY_LV2_CL_CODE)</t>
  </si>
  <si>
    <t>WHERE CL_SCM_CODE = 'FNC_ST'</t>
  </si>
  <si>
    <t>Financial Status ID</t>
  </si>
  <si>
    <t>FNC_ST_ID</t>
  </si>
  <si>
    <t>Mã duy nhất của nhóm nợ trên DWH</t>
  </si>
  <si>
    <t>Mã nhóm nợ</t>
  </si>
  <si>
    <t>Financial Status Description</t>
  </si>
  <si>
    <t>FNC_ST_DSC</t>
  </si>
  <si>
    <t>Mô tả nhóm nợ</t>
  </si>
  <si>
    <t>PD_ID</t>
  </si>
  <si>
    <t>concat(to_char(ETL_CHANGE_DATE,"YYYYMMDD"),PD_ID)</t>
  </si>
  <si>
    <t>Product ID</t>
  </si>
  <si>
    <t>TYPE : SNAPSHOT</t>
  </si>
  <si>
    <t>(join) on a.AR_ID = b.AR_ID</t>
  </si>
  <si>
    <t>(left join) on a.AR_ID = c.AR_ID</t>
  </si>
  <si>
    <t>(left join) on a.AR_ID = d.AR_ID</t>
  </si>
  <si>
    <t>(left join) (SELECT 
 ORIG_AR_ID
   ,SUM(${ETL_DATE} - e.PNP_PAST_DUE_DT) + 1 AS SO_NGAY_QH_GOC
   ,SUM(${ETL_DATE} - e.INT_PAST_DUE_DT) + 1 AS SO_NGAY_QH_LAI
   ,GREATEST(NVL(SUM(${ETL_DATE} - e.PNP_PAST_DUE_DT),0),NVL(SUM(${ETL_DATE}) - e.INT_PAST_DUE_DT),0)) +1 AS SONGAY_QHAN_CAONHAT
,SUM(nvl(ADDITION_DYS_IN_ARS,0)) SNQH_CHUYENDOI
   FROM PG_SILVER.AR_DLQ_SMY e 
  GROUP BY ORIG_AR_ID) e
on e.ORIG_AR_ID = a.AR_ID</t>
  </si>
  <si>
    <t>g</t>
  </si>
  <si>
    <t>(left join) on a.CCY_CODE = g.FRST_CCY_CODE</t>
  </si>
  <si>
    <t>h</t>
  </si>
  <si>
    <t>(left join) (SELECT 
ORIG_AR_ID
,SUM(TOT_INT_PAID_AMT_FCY) TOT_INT_PAID_AMT_FCY
,SUM(TOT_INT_DUE_AMT_FCY) TOT_INT_DUE_AMT_FCY
,SUM(TOT_INT_ODUE_AMT_FCY) TOT_INT_ODUE_AMT_FCY
FROM PG_SILVER.AST_AR_INT_SMY
GROUP BY ORIG_AR_ID) h
on a.AR_ID = h.ORIG_AR_ID</t>
  </si>
  <si>
    <t>(left join) (Select ORIG_AR_ID, sum(CLS_BAL_LCY) CLS_BAL_LCY from PG_SILVER.AR_TVR_SMY
GROUP BY ORIG_AR_ID) k
on a.AR_ID = k.ORIG_AR_ID</t>
  </si>
  <si>
    <t>(left join) on a.CST_ID = l.CST_ID</t>
  </si>
  <si>
    <t>m</t>
  </si>
  <si>
    <t>(left join) on a.CST_ID = m.CST_ID</t>
  </si>
  <si>
    <t>PG_GOLD</t>
  </si>
  <si>
    <t>dim_ar</t>
  </si>
  <si>
    <t>(join) on a.AR_ID = dim_ar.AR_ID</t>
  </si>
  <si>
    <t>dim_cst</t>
  </si>
  <si>
    <t>(join) on a.CST_ID = dim_cst.CST_ID</t>
  </si>
  <si>
    <t>dim_pd</t>
  </si>
  <si>
    <t>(left join) on a.PD_CODE = dim_pd.PD_CODE</t>
  </si>
  <si>
    <t>dim_ou</t>
  </si>
  <si>
    <t>(left join) on c.OU_CODE = dim_ou.OU_CODE</t>
  </si>
  <si>
    <t>dim_ccy</t>
  </si>
  <si>
    <t>(left join) on a.CCY_CODE = dim_ccy.CCY_CODE</t>
  </si>
  <si>
    <t>DIM_LIMIT</t>
  </si>
  <si>
    <t>dim_lmt</t>
  </si>
  <si>
    <t>(left join) on a.LMT_ID = dim_lmt.LMT_ID</t>
  </si>
  <si>
    <t>dim_rstc</t>
  </si>
  <si>
    <t>(left join) on c.DBT_RSTC_TP_CODE = dim_rstc.RSTC_TP_CODE</t>
  </si>
  <si>
    <t>dim_fnc_1</t>
  </si>
  <si>
    <t>(left join) on c.FNC_ST_CODE = dim_fnc_1.FNC_ST_CODE</t>
  </si>
  <si>
    <t>dim_fnc_2</t>
  </si>
  <si>
    <t>(left join) on nvl(l.CST_FNC_ST_CODE,m.CST_FNC_ST_CODE)  = dim_fnc_2.FNC_ST_CODE</t>
  </si>
  <si>
    <t>Calendar Date Dimension Key</t>
  </si>
  <si>
    <t>CDR_DT_DIM_KEY</t>
  </si>
  <si>
    <t>Chiều ngày dữ liệu</t>
  </si>
  <si>
    <t>Loan Arrangement Dimension Key</t>
  </si>
  <si>
    <t>LOAN_AR_DIM_KEY</t>
  </si>
  <si>
    <t>Chiều Hợp đồng vay</t>
  </si>
  <si>
    <t>Customer Dimension Key</t>
  </si>
  <si>
    <t>CST_DIM_KEY</t>
  </si>
  <si>
    <t>Chiều Khách hàng</t>
  </si>
  <si>
    <t>Product Dimension Key</t>
  </si>
  <si>
    <t>PD_DIM_KEY</t>
  </si>
  <si>
    <t>Chiều Sản phẩm</t>
  </si>
  <si>
    <t>Organization Unit Dimension Key</t>
  </si>
  <si>
    <t>OU_DIM_KEY</t>
  </si>
  <si>
    <t>Chiều chi nhánh</t>
  </si>
  <si>
    <t>Currency Dimension Key</t>
  </si>
  <si>
    <t>CCY_DIM_KEY</t>
  </si>
  <si>
    <t>Chiều loại tiền</t>
  </si>
  <si>
    <t>Limit Dimension Key</t>
  </si>
  <si>
    <t>LMT_DIM_KEY</t>
  </si>
  <si>
    <t>Chiều hạn mức</t>
  </si>
  <si>
    <t>Loan Restructure Type Dimension Key</t>
  </si>
  <si>
    <t>LOAN_RSTC_TP_DIM_KEY</t>
  </si>
  <si>
    <t>Chiều loại tái cấu trúc</t>
  </si>
  <si>
    <t>DIM_FNC_ST dim_fnc_1</t>
  </si>
  <si>
    <t>Loan Arrangement Financial Status Dimension Key</t>
  </si>
  <si>
    <t>LOAN_AR_FNC_ST_DIM_KEY</t>
  </si>
  <si>
    <t>Chiều nhóm nợ hợp đồng vay</t>
  </si>
  <si>
    <t>DIM_FNC_ST dim_fnc_2</t>
  </si>
  <si>
    <t>Customer Financial Status Dimension Key</t>
  </si>
  <si>
    <t>CST_FNC_ST_DIM_KEY</t>
  </si>
  <si>
    <t>Chiều nhóm nợ khách hàng</t>
  </si>
  <si>
    <t>Mã phân hệ</t>
  </si>
  <si>
    <t>nvl(TOT_INT_DUE_AMT_FCY,0) + nvl(TOT_INT_ODUE_AMT_FCY,0)</t>
  </si>
  <si>
    <t>Total Interest Arrears Amount FCY</t>
  </si>
  <si>
    <t>TOT_INT_ARS_FCY</t>
  </si>
  <si>
    <t>nvl(TOT_INT_PAID_AMT_FCY,0)</t>
  </si>
  <si>
    <t>nvl(SO_NGAY_QH_GOC,0)</t>
  </si>
  <si>
    <t>days in principal arrears</t>
  </si>
  <si>
    <t>Số ngày quá hạn gốc</t>
  </si>
  <si>
    <t>nvl(SO_NGAY_QH_LAI,0)</t>
  </si>
  <si>
    <t>days in interest arrears</t>
  </si>
  <si>
    <t>Số ngày quá hạn lãi</t>
  </si>
  <si>
    <t>nvl(SONGAY_QHAN_CAONHAT,0)</t>
  </si>
  <si>
    <t>nvl(SNQH_CHUYENDOI,0)</t>
  </si>
  <si>
    <t>nvl(CLS_BAL_LCY,0)</t>
  </si>
  <si>
    <t>Outstanding Amount LCY</t>
  </si>
  <si>
    <t>OTSND_AMT_LCY</t>
  </si>
  <si>
    <t>Dư nợ quy đổi</t>
  </si>
  <si>
    <t>Số lần cơ cấu</t>
  </si>
  <si>
    <t>Classification ID</t>
  </si>
  <si>
    <t>Mã duy nhất của CL</t>
  </si>
  <si>
    <t>Classification Code</t>
  </si>
  <si>
    <t>Mã phân loại</t>
  </si>
  <si>
    <t>Classification Description</t>
  </si>
  <si>
    <t>mô tả</t>
  </si>
  <si>
    <t>'LOAN_RSTC_TP'</t>
  </si>
  <si>
    <t>Classification Schema Code</t>
  </si>
  <si>
    <t>CL_SCM_CODE</t>
  </si>
  <si>
    <t>Nhóm phân loại</t>
  </si>
  <si>
    <t>'FNC_ST'</t>
  </si>
  <si>
    <t>fn_hash('T24_CL_LOAN_RSTC_TP',1)</t>
  </si>
  <si>
    <t>1.Co cau theo thong tu 09</t>
  </si>
  <si>
    <t>LOAN_RSTC_TP</t>
  </si>
  <si>
    <t>fn_hash('T24_CL_LOAN_RSTC_TP',2)</t>
  </si>
  <si>
    <t>2.Co cau theo quyet dinh 780</t>
  </si>
  <si>
    <t>fn_hash('T24_CL_LOAN_RSTC_TP',3)</t>
  </si>
  <si>
    <t>3.Co cau khac (theo thong tu 02 hien hanh)</t>
  </si>
  <si>
    <t>fn_hash('T24_CL_LOAN_RSTC_TP',4)</t>
  </si>
  <si>
    <t>4.Khong</t>
  </si>
  <si>
    <t>fn_hash('T24_CL_LOAN_RSTC_TP',5)</t>
  </si>
  <si>
    <t>5.Co cau no do Covid-19</t>
  </si>
  <si>
    <t>fn_hash('T24_CL_LOAN_RSTC_TP',6)</t>
  </si>
  <si>
    <t>6.Mien giam lai do Covid-19</t>
  </si>
  <si>
    <t>fn_hash('T24_CL_LOAN_RSTC_TP',7)</t>
  </si>
  <si>
    <t>7.Co cau va mien giam lai do Covid-19</t>
  </si>
  <si>
    <t>fn_hash('T24_CL_FNC_ST',1)</t>
  </si>
  <si>
    <t>Nhom no 1</t>
  </si>
  <si>
    <t>FNC_ST</t>
  </si>
  <si>
    <t>fn_hash('T24_CL_FNC_ST',2)</t>
  </si>
  <si>
    <t>Nhom no 2</t>
  </si>
  <si>
    <t>fn_hash('T24_CL_FNC_ST',3)</t>
  </si>
  <si>
    <t>Nhom no 3</t>
  </si>
  <si>
    <t>fn_hash('T24_CL_FNC_ST',4)</t>
  </si>
  <si>
    <t>Nhom no 4</t>
  </si>
  <si>
    <t>fn_hash('T24_CL_FNC_ST',5)</t>
  </si>
  <si>
    <t>Nhom no 5</t>
  </si>
  <si>
    <t>fn_hash("T24_CURRENCY",cur.ID)</t>
  </si>
  <si>
    <t>Currency</t>
  </si>
  <si>
    <t>CCY_NAME</t>
  </si>
  <si>
    <t>Mã nguồn dữ liệu</t>
  </si>
  <si>
    <t>ETL_DATE if not exists CCY_ID</t>
  </si>
  <si>
    <t>ETL_DATE if ID was deleted</t>
  </si>
  <si>
    <t>T24CORE_LIMIT</t>
  </si>
  <si>
    <t>fn_hash("T24_LIMIT",RECID)</t>
  </si>
  <si>
    <t>T24_LIMIT'</t>
  </si>
  <si>
    <t>(LEFT JOIN) ON ld.ACC_FCC =  m.CONTRACT_REF_NO AND m.VERSION_NO =  ( SELECT max(ldm.VERSION_NO) 
FROM flexbo.pgb_ldtb_contract_master ldm
WHERE ldm.CONTRACT_REF_NO =  m.CONTRACT_REF_NO )</t>
  </si>
  <si>
    <t>td</t>
  </si>
  <si>
    <t>(LEFT JOIN) ON ld.RECID = td.CONTRACT_REF_NO
       AND td.MOV_DATE = TO_DATE(COALESCE(ld.ORIG_VAL_DATE,ld.VALUE_DATE), 'YYYYMMDD')</t>
  </si>
  <si>
    <t>ld_los</t>
  </si>
  <si>
    <t>(LEFT JOIN) ON ld_los.EXT_REF_NO_1 = ld.RECID 
            AND ld_los.AMND_STATE = 'F'  
            AND ld_los.STATUS IN ('A','U') 
            AND ld_los.BOOKING_DATE = TO_DATE(COALESCE(ld.ORIG_VAL_DATE,ld.VALUE_DATE), 'YYYYMMDD')</t>
  </si>
  <si>
    <t>los</t>
  </si>
  <si>
    <t>(LEFT JOIN) ld_los.FACILITY_ID = los.ID</t>
  </si>
  <si>
    <t>pd_los</t>
  </si>
  <si>
    <t>(LEFT JOIN) los.PRODUCT_ID = pd_los.ID</t>
  </si>
  <si>
    <t>(left join) ON i.RECID = ld.CUSTOMER_ID</t>
  </si>
  <si>
    <t>'T24_LD_LOANS_AND_DEPOSITS'</t>
  </si>
  <si>
    <t>fn_hash("T24_LD_LOANS_AND_DEPOSITS",RECID)</t>
  </si>
  <si>
    <t>FIRST_VALUE(CO_CODE) OVER (PARTITION BY RECID ORDER BY VALUE_DATE)</t>
  </si>
  <si>
    <t>Mã chi nhánh quản lý đầu tiên</t>
  </si>
  <si>
    <t>fn_hash("T24_CUSTOMER",CUSTOMER_ID)</t>
  </si>
  <si>
    <t>DSBR_AMT_FCY</t>
  </si>
  <si>
    <t>fn_hash("T24_LIMIT",LIMIT_REFERENCE)</t>
  </si>
  <si>
    <t>Limit Id</t>
  </si>
  <si>
    <t>REFRRER_OFCR_CODE</t>
  </si>
  <si>
    <t>CASE WHEN ld.ACC_FCC IS NOT NULL AND  i.KHOI = 'INDIV' THEN td.SAN_PHAM_CHO_VAY_KHCN
WHEN ld.ACC_FCC IS NOT NULL AND  i.KHOI &lt;&gt; 'INDIV' THEN td.SAN_PHAM_CHO_VAY_KHDN ELSE nvl(pd_los.PRODUCT_CODE,ld.PRODUCTGR_CODE)</t>
  </si>
  <si>
    <t>NVL(td.MDVAY_SP, ld.USE_OF_LOAN)</t>
  </si>
  <si>
    <t>ETL_DATE if not exists RECID</t>
  </si>
  <si>
    <t>ldh</t>
  </si>
  <si>
    <t>WHERE ldh.CURR_NO =  (SELECT  max(CURR_NO) FROM T24CORE.LD_LOANS_AND_DEPOSITS_HIS t
WHERE SUBSTR(ldh.RECID,1,INSTR(ldh.RECID,';')-1) = SUBSTR(t.RECID,1,INSTR(t.RECID,';')-1) )
AND NOT EXISTS (SELECT * FROM T24CORE.LD_LOANS_AND_DEPOSITS_HIS t
WHERE SUBSTR(ldh.RECID,1,INSTR(ldh.RECID,';')-1) = SUBSTR(t.RECID,1,INSTR(t.RECID,';')-1)
AND NVL(t.RECORD_STATUS,'_') = 'REVE' )
and NOT EXISTS (SELECT * FROM T24CORE.LD_LOANS_AND_DEPOSITS ld
WHERE SUBSTR(ldh.RECID,1,INSTR(ldh.RECID,';')-1) = ld.RECID )</t>
  </si>
  <si>
    <t>m1</t>
  </si>
  <si>
    <t>(LEFT JOIN) ON ldh.ACC_FCC =  m1.CONTRACT_REF_NO AND m1.VERSION_NO =  ( SELECT max(ldm.VERSION_NO) 
FROM flexbo.pgb_ldtb_contract_master ldm
WHERE ldm.CONTRACT_REF_NO =  m1.CONTRACT_REF_NO )</t>
  </si>
  <si>
    <t>(LEFT JOIN) ON ldh.RECID = td.CONTRACT_REF_NO
       AND td.MOV_DATE = TO_DATE(COALESCE(ld.ORIG_VAL_DATE,ld.VALUE_DATE), 'YYYYMMDD')</t>
  </si>
  <si>
    <t>(LEFT JOIN) ON ld_los.EXT_REF_NO_1 = ldh.RECID 
            AND ld_los.AMND_STATE = 'F'  
            AND ld_los.STATUS IN ('A','U') 
            AND ld_los.BOOKING_DATE = TO_DATE(COALESCE(ld.ORIG_VAL_DATE,ld.VALUE_DATE), 'YYYYMMDD')</t>
  </si>
  <si>
    <t>(left join) ON i.RECID = ldh.CUSTOMER_ID</t>
  </si>
  <si>
    <t>'T24_LD_LOANS_AND_DEPOSITS_HIS'</t>
  </si>
  <si>
    <t>fn_hash("T24_LD_LOANS_AND_DEPOSITS",SUBSTR(ldh.RECID,1,INSTR(ldh.RECID,';')-1))</t>
  </si>
  <si>
    <t>SUBSTR(ldh.RECID,1,INSTR(ldh.RECID,';')-1)</t>
  </si>
  <si>
    <t>CASE WHEN ldh.ACC_FCC IS NOT NULL AND  i.KHOI = 'INDIV' THEN td.SAN_PHAM_CHO_VAY_KHCN
WHEN ldh.ACC_FCC IS NOT NULL AND  i.KHOI &lt;&gt; 'INDIV' THEN td.SAN_PHAM_CHO_VAY_KHDN ELSE pd_los.PRODUCT_CODE</t>
  </si>
  <si>
    <t>NVL(td.MDVAY_SP, ldh.USE_OF_LOAN)</t>
  </si>
  <si>
    <t>d.RECID = d1.RECID</t>
  </si>
  <si>
    <t>'T24_PD_PAYMENT_DUE'</t>
  </si>
  <si>
    <t>fn_hash("T24_CUSTOMER",CUSTOMER)</t>
  </si>
  <si>
    <t>SUBSTR(d.PAYMENT_DTE_DUE , 1, 8)</t>
  </si>
  <si>
    <t xml:space="preserve">(left join) ON ((b.COL_REF = a.ACC_FCC and b.FUNCTION_CODE = 'CONTRACT_INFOR' and a.RECID  LIKE 'LD%') OR (b.COL_REF = a.FCC_LIMIT and b.FUNCTION_CODE = 'LIMIT_INFOR'))  AND b.UDF_ID = 'NHANNO_BATBUOC' </t>
  </si>
  <si>
    <t>(left join) ON c.CONTRACT_REF_NO = a.ACC_FCC and c.field_name ='SO LAN CO CAU'</t>
  </si>
  <si>
    <t>(left join) ON c1.CONTRACT_REF_NO = a.ACC_FCC and c1.field_name ='LOAI CHUNG KHOAN'</t>
  </si>
  <si>
    <t>(left join) ON d.CONTRACT_REF_NO = a.RECID AND d.MOV_DATE = TO_DATE(COALESCE(a.ORIG_VAL_DATE,a.VALUE_DATE), 'YYYYMMDD')</t>
  </si>
  <si>
    <t>(left join) ON e.CONTRACT_REF_NO = a.ACC_FCC -- AND e.MOV_DATE = TO_DATE('20181130','YYYYMMDD')</t>
  </si>
  <si>
    <t>Tránh dup dữ liệu</t>
  </si>
  <si>
    <t>(left join) ON f.LD_ID = a.RECID</t>
  </si>
  <si>
    <t>(left join) ON g.CONTRACT_REF_NO = a.ACC_FCC -- AND g.MOV_DATE = TO_DATE('20211212','YYYYMMDD')</t>
  </si>
  <si>
    <t>(left join) ON h.TRANS_REF = a.recid and h.SBV_CODE LIKE '39%'</t>
  </si>
  <si>
    <t>Lấy distinct TRANS_REF, SBV_CODE</t>
  </si>
  <si>
    <t>(left join) ON i.RECID = a.CUSTOMER_ID</t>
  </si>
  <si>
    <t>Interest Liquid Arrangement Id</t>
  </si>
  <si>
    <t>INT_LQD_AR_ID</t>
  </si>
  <si>
    <t>ID Tài khoản thanh toán lãi</t>
  </si>
  <si>
    <t>Principal Liquid Arrangement Code</t>
  </si>
  <si>
    <t>PNP_LQD_AR_CODE</t>
  </si>
  <si>
    <t>Principal Liquid Arrangement Id</t>
  </si>
  <si>
    <t>PNP_LQD_AR_ID</t>
  </si>
  <si>
    <t>ID Tài khoản thanh toán gốc</t>
  </si>
  <si>
    <t>PGB_CONTRACT_UDF_MAP c</t>
  </si>
  <si>
    <t>NVL(d.SO_LAN_CO_CAU,c.FIELD_VAL)</t>
  </si>
  <si>
    <t>PGB_CONTRACT_UDF_MAP c1</t>
  </si>
  <si>
    <t>Mã hồ sơ đăng ký vay vốn mua xe?</t>
  </si>
  <si>
    <t>Đánh dấu cơ cấu miễn giảm</t>
  </si>
  <si>
    <t>REFRRER_OFCR</t>
  </si>
  <si>
    <t>e,f,i</t>
  </si>
  <si>
    <t>CASE WHEN e.CT_KHUYEN_MAI_CHO_VAY IS NULL AND i.KHOI = 'INDIV' then f.MB_LD_TYPE else e.CT_KHUYEN_MAI_CHO_VAY</t>
  </si>
  <si>
    <t xml:space="preserve">CASE WHEN e.CTKM2 IS NULL AND i.KHOI &lt;&gt; 'INDIV' then f.MB_LD_TYPE </t>
  </si>
  <si>
    <t>General Ledger Item Id</t>
  </si>
  <si>
    <t>GL_ITM_ID</t>
  </si>
  <si>
    <t>ID Mã hạch toán theo SBV</t>
  </si>
  <si>
    <t>'1'</t>
  </si>
  <si>
    <t>ETL_DATE if not exists AR_ID</t>
  </si>
  <si>
    <t>Khởi tạo dữ liệu</t>
  </si>
  <si>
    <t>LD_LOANS_AND_DEPOSITS HIS</t>
  </si>
  <si>
    <t>WHERE a.CURR_NO =  (SELECT  max(CURR_NO) FROM T24CORE.LD_LOANS_AND_DEPOSITS_HIS t
WHERE SUBSTR(a.RECID,1,INSTR(a.RECID,';')-1) = SUBSTR(t.RECID,1,INSTR(t.RECID,';')-1) )
AND NOT EXISTS (SELECT * FROM T24CORE.LD_LOANS_AND_DEPOSITS_HIS t
WHERE SUBSTR(a.RECID,1,INSTR(a.RECID,';')-1) = SUBSTR(t.RECID,1,INSTR(t.RECID,';')-1)
AND NVL(t.RECORD_STATUS,'_') = 'REVE' )
and NOT EXISTS (SELECT * FROM T24CORE.LD_LOANS_AND_DEPOSITS ld
WHERE SUBSTR(a.RECID,1,INSTR(a.RECID,';')-1) = ld.RECID )</t>
  </si>
  <si>
    <t xml:space="preserve">(left join) ON (b.COL_REF = a.ACC_FCC and b.FUNCTION_CODE = 'CONTRACT_INFOR' and a.RECID  LIKE 'LD%')  AND b.UDF_ID = 'NHANNO_BATBUOC' </t>
  </si>
  <si>
    <t>(left join) ON d.CONTRACT_REF_NO =  SUBSTR(a.RECID,1,INSTR(a.RECID,';')-1) AND d.MOV_DATE = TO_DATE(COALESCE(a.ORIG_VAL_DATE,a.VALUE_DATE), 'YYYYMMDD')</t>
  </si>
  <si>
    <t>(left join) ON e.CONTRACT_REF_NO = a.ACC_FCC -- AND e.MOV_DATE = TO_DATE('20181130',,'YYYYMMDD')</t>
  </si>
  <si>
    <t>(left join) ON f.LD_ID =  SUBSTR(a.RECID,1,INSTR(a.RECID,';')-1)</t>
  </si>
  <si>
    <t>(left join) ON h.TRANS_REF =  SUBSTR(a.RECID,1,INSTR(a.RECID,';')-1) and h.SBV_CODE LIKE '39%'</t>
  </si>
  <si>
    <t>fn_hash("T24_LD_LOANS_AND_DEPOSITS",SUBSTR(a.RECID,1,INSTR(a.RECID,';')-1))</t>
  </si>
  <si>
    <t>SUBSTR(a.RECID,1,INSTR(a.RECID,';')-1)</t>
  </si>
  <si>
    <t>Mã hồ sơ LOS</t>
  </si>
  <si>
    <t>Where APP_CODE IN ('LD', 'PD')</t>
  </si>
  <si>
    <t>RCVB_AMT_LCY</t>
  </si>
  <si>
    <t>CHAR2</t>
  </si>
  <si>
    <t>ID hợp đồng trên DWH</t>
  </si>
  <si>
    <t>AST_TP_CODE</t>
  </si>
  <si>
    <t>ID khách hàng trên DWH</t>
  </si>
  <si>
    <t>(left join) ON d.CONTRACT_REF_NO = a.RECID
AND d.MOV_DATE = TO_DATE(COALESCE(a.ORIG_VAL_DATE,a.VALUE_DATE), 'YYYYMMDD')</t>
  </si>
  <si>
    <t>INT_RATE_VARIABLITY_TP_CODE</t>
  </si>
  <si>
    <t>INT_RATE_EFF_DT</t>
  </si>
  <si>
    <t>SPRD_RATE_PCT</t>
  </si>
  <si>
    <t>Khởi tạo</t>
  </si>
  <si>
    <t xml:space="preserve">(left join) ON d.CONTRACT_REF_NO = SUBSTR(ldh.RECID,1,INSTR(ldh.RECID,';')-1)
AND d.MOV_DATE  = TO_DATE(COALESCE(ldh.ORIG_VAL_DATE,ldh.VALUE_DATE), 'YYYYMMDD')
</t>
  </si>
  <si>
    <t>Loại giấy tờ</t>
  </si>
  <si>
    <t>Ngày cấp giấy tờ</t>
  </si>
  <si>
    <t>Identification Expiry date</t>
  </si>
  <si>
    <t>Ngày hêt hạn giấy tờ</t>
  </si>
  <si>
    <t>Nơi cấp giấy tờ</t>
  </si>
  <si>
    <t>Mã giấy tờ</t>
  </si>
  <si>
    <t>'EMAIL'</t>
  </si>
  <si>
    <t>Electronic Address Type</t>
  </si>
  <si>
    <t>ELC_ADR_TP</t>
  </si>
  <si>
    <t>Loại địa chỉ</t>
  </si>
  <si>
    <t>Địa chỉ</t>
  </si>
  <si>
    <t>'HOME_NUMBER'</t>
  </si>
  <si>
    <t>j</t>
  </si>
  <si>
    <t>'CURRENT ADDRESS'</t>
  </si>
  <si>
    <t>Postal Address Type</t>
  </si>
  <si>
    <t>PST_ADR_TP</t>
  </si>
  <si>
    <t>VN_STREET ||','|| VN_TOWN||','|| COUNTRY</t>
  </si>
  <si>
    <t>Postal Address Value</t>
  </si>
  <si>
    <t>PST_ADR_VAL</t>
  </si>
  <si>
    <t>Tên quốc gia</t>
  </si>
  <si>
    <t>Tên tỉnh thành phố</t>
  </si>
  <si>
    <t>Tên đường</t>
  </si>
  <si>
    <t>'PERMANENT ADDRESS'</t>
  </si>
  <si>
    <t>RESID_PROVINCE||','|| RESIDENCE</t>
  </si>
  <si>
    <t xml:space="preserve">CUSTOMER </t>
  </si>
  <si>
    <t>WHERE c.KHOI LIKE '%INDIV%'</t>
  </si>
  <si>
    <t>WHERE c.KHOI NOT LIKE '%INDIV%'</t>
  </si>
  <si>
    <t>Industry Classification Code</t>
  </si>
  <si>
    <t>IDY_CL_CODE</t>
  </si>
  <si>
    <t>fn_hash("T24_PRODUCT",PRODUCT_CODE)</t>
  </si>
  <si>
    <t>'T24_PRODUCT'</t>
  </si>
  <si>
    <t>fn_hash("T24_COMPANY",RECID)</t>
  </si>
  <si>
    <t>ETL_DATE if not exists OU_ID</t>
  </si>
  <si>
    <t>fn_hash("T24_EMPLOYEE",RECID)</t>
  </si>
  <si>
    <t>Employee ID</t>
  </si>
  <si>
    <t>EMPE_ID</t>
  </si>
  <si>
    <t>Mã NHÂN VIÊN</t>
  </si>
  <si>
    <t>Tên NHÂN VIÊN</t>
  </si>
  <si>
    <t>ETL_DATE if not exists EMPE_ID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</si>
</sst>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8">
    <font>
      <sz val="11"/>
      <color theme="1"/>
      <name val="Calibri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theme="1"/>
      <name val="&quot;Aptos Narrow&quot;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rgb="FF000000"/>
      <name val="Times New Roman"/>
    </font>
    <font>
      <sz val="11"/>
      <color rgb="FF000000"/>
      <name val="Calibri"/>
    </font>
    <font>
      <sz val="11"/>
      <color rgb="FF000000"/>
      <name val="Times New Roman"/>
    </font>
    <font>
      <b/>
      <sz val="11"/>
      <color rgb="FF000000"/>
      <name val="Calibri"/>
    </font>
    <font>
      <sz val="11"/>
      <color theme="1"/>
      <name val="Arial"/>
    </font>
    <font>
      <strike/>
      <sz val="11"/>
      <color theme="1"/>
      <name val="Calibri"/>
    </font>
    <font>
      <strike/>
      <sz val="11"/>
      <color theme="1"/>
      <name val="Times New Roman"/>
    </font>
    <font>
      <sz val="11"/>
      <color rgb="FF1F1F1F"/>
      <name val="Times New Roman"/>
    </font>
    <font>
      <sz val="11"/>
      <color rgb="FF000000"/>
      <name val="Consolas"/>
    </font>
    <font>
      <strike/>
      <sz val="11"/>
      <color rgb="FF1F1F1F"/>
      <name val="Times New Roman"/>
    </font>
    <font>
      <strike/>
      <sz val="10"/>
      <color rgb="FF000000"/>
      <name val="Times New Roman"/>
    </font>
    <font>
      <strike/>
      <sz val="11"/>
      <color rgb="FF000000"/>
      <name val="Calibri"/>
    </font>
    <font>
      <b/>
      <sz val="11"/>
      <color rgb="FF000000"/>
      <name val="Times New Roman"/>
    </font>
    <font>
      <i/>
      <sz val="11"/>
      <color rgb="FF006464"/>
      <name val="Times New Roman"/>
    </font>
    <font>
      <strike/>
      <sz val="11"/>
      <color rgb="FF000000"/>
      <name val="Times New Roman"/>
    </font>
    <font>
      <b/>
      <strike/>
      <sz val="11"/>
      <color rgb="FF000000"/>
      <name val="Calibri"/>
    </font>
    <font>
      <strike/>
      <sz val="11"/>
      <color rgb="FFFF0000"/>
      <name val="Times New Roman"/>
    </font>
    <font>
      <b/>
      <sz val="12"/>
      <color rgb="FF000000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1F1F1F"/>
      <name val="Times New Roman"/>
    </font>
    <font>
      <i/>
      <sz val="12"/>
      <color rgb="FF006464"/>
      <name val="Times New Roman"/>
    </font>
    <font>
      <sz val="12"/>
      <color rgb="FFFF0000"/>
      <name val="Times New Roman"/>
    </font>
    <font>
      <sz val="11"/>
      <color rgb="FF000000"/>
      <name val="Arial"/>
    </font>
    <font>
      <u/>
      <sz val="11"/>
      <color rgb="FF000000"/>
      <name val="Calibri"/>
    </font>
    <font>
      <sz val="11"/>
      <color rgb="FF3B3B3B"/>
      <name val="Consolas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A64D79"/>
        <bgColor rgb="FFA64D79"/>
      </patternFill>
    </fill>
    <fill>
      <patternFill patternType="solid">
        <fgColor rgb="FFCC0000"/>
        <bgColor rgb="FFCC0000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1F4E78"/>
        <bgColor rgb="FF1F4E78"/>
      </patternFill>
    </fill>
    <fill>
      <patternFill patternType="solid">
        <fgColor rgb="FFF2F7FA"/>
        <bgColor rgb="FFF2F7FA"/>
      </patternFill>
    </fill>
    <fill>
      <patternFill patternType="solid">
        <fgColor rgb="FFF0F9F5"/>
        <bgColor rgb="FFF0F9F5"/>
      </patternFill>
    </fill>
    <fill>
      <patternFill patternType="solid">
        <fgColor rgb="FFFFFBF0"/>
        <bgColor rgb="FFFFFBF0"/>
      </patternFill>
    </fill>
    <fill>
      <patternFill patternType="solid">
        <fgColor rgb="FFFDF5F5"/>
        <bgColor rgb="FFFDF5F5"/>
      </patternFill>
    </fill>
    <fill>
      <patternFill patternType="solid">
        <fgColor rgb="FFF8F5FC"/>
        <bgColor rgb="FFF8F5FC"/>
      </patternFill>
    </fill>
    <fill>
      <patternFill patternType="solid">
        <fgColor rgb="FFF5F8FC"/>
        <bgColor rgb="FFF5F8FC"/>
      </patternFill>
    </fill>
    <fill>
      <patternFill patternType="solid">
        <fgColor rgb="FFFFF5FB"/>
        <bgColor rgb="FFFFF5FB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7"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/>
    <xf numFmtId="0" fontId="4" fillId="4" borderId="0" xfId="0" applyFont="1" applyFill="1"/>
    <xf numFmtId="14" fontId="4" fillId="4" borderId="0" xfId="0" applyNumberFormat="1" applyFont="1" applyFill="1" applyAlignment="1">
      <alignment vertical="center" wrapText="1"/>
    </xf>
    <xf numFmtId="0" fontId="5" fillId="0" borderId="0" xfId="0" applyFont="1"/>
    <xf numFmtId="14" fontId="5" fillId="0" borderId="0" xfId="0" applyNumberFormat="1" applyFont="1"/>
    <xf numFmtId="0" fontId="6" fillId="5" borderId="1" xfId="0" applyFont="1" applyFill="1" applyBorder="1"/>
    <xf numFmtId="0" fontId="7" fillId="0" borderId="1" xfId="0" applyFont="1" applyBorder="1"/>
    <xf numFmtId="0" fontId="7" fillId="2" borderId="1" xfId="0" applyFont="1" applyFill="1" applyBorder="1"/>
    <xf numFmtId="0" fontId="7" fillId="0" borderId="0" xfId="0" applyFont="1"/>
    <xf numFmtId="0" fontId="8" fillId="0" borderId="0" xfId="0" applyFont="1" applyAlignment="1">
      <alignment vertical="center"/>
    </xf>
    <xf numFmtId="0" fontId="7" fillId="2" borderId="3" xfId="0" applyFont="1" applyFill="1" applyBorder="1"/>
    <xf numFmtId="0" fontId="4" fillId="7" borderId="1" xfId="0" applyFont="1" applyFill="1" applyBorder="1"/>
    <xf numFmtId="164" fontId="5" fillId="0" borderId="0" xfId="0" applyNumberFormat="1" applyFont="1"/>
    <xf numFmtId="0" fontId="5" fillId="2" borderId="0" xfId="0" applyFont="1" applyFill="1"/>
    <xf numFmtId="0" fontId="8" fillId="0" borderId="1" xfId="0" applyFont="1" applyBorder="1" applyAlignment="1">
      <alignment vertical="center"/>
    </xf>
    <xf numFmtId="0" fontId="7" fillId="8" borderId="0" xfId="0" applyFont="1" applyFill="1" applyAlignment="1"/>
    <xf numFmtId="0" fontId="9" fillId="0" borderId="4" xfId="0" applyFont="1" applyBorder="1" applyAlignment="1"/>
    <xf numFmtId="0" fontId="10" fillId="8" borderId="4" xfId="0" applyFont="1" applyFill="1" applyBorder="1" applyAlignment="1"/>
    <xf numFmtId="0" fontId="11" fillId="0" borderId="1" xfId="0" applyFont="1" applyBorder="1"/>
    <xf numFmtId="0" fontId="11" fillId="8" borderId="0" xfId="0" applyFont="1" applyFill="1"/>
    <xf numFmtId="0" fontId="7" fillId="0" borderId="0" xfId="0" applyFont="1" applyAlignment="1"/>
    <xf numFmtId="0" fontId="9" fillId="0" borderId="1" xfId="0" applyFont="1" applyBorder="1" applyAlignment="1"/>
    <xf numFmtId="0" fontId="7" fillId="8" borderId="1" xfId="0" applyFont="1" applyFill="1" applyBorder="1" applyAlignment="1"/>
    <xf numFmtId="0" fontId="8" fillId="0" borderId="1" xfId="0" applyFont="1" applyBorder="1" applyAlignment="1"/>
    <xf numFmtId="0" fontId="11" fillId="9" borderId="0" xfId="0" applyFont="1" applyFill="1"/>
    <xf numFmtId="0" fontId="11" fillId="9" borderId="0" xfId="0" applyFont="1" applyFill="1" applyAlignment="1">
      <alignment wrapText="1"/>
    </xf>
    <xf numFmtId="0" fontId="6" fillId="10" borderId="5" xfId="0" applyFont="1" applyFill="1" applyBorder="1" applyAlignment="1"/>
    <xf numFmtId="0" fontId="6" fillId="10" borderId="4" xfId="0" applyFont="1" applyFill="1" applyBorder="1" applyAlignment="1"/>
    <xf numFmtId="0" fontId="6" fillId="10" borderId="6" xfId="0" applyFont="1" applyFill="1" applyBorder="1" applyAlignment="1">
      <alignment wrapText="1"/>
    </xf>
    <xf numFmtId="0" fontId="6" fillId="10" borderId="6" xfId="0" applyFont="1" applyFill="1" applyBorder="1" applyAlignment="1"/>
    <xf numFmtId="0" fontId="11" fillId="8" borderId="0" xfId="0" applyFont="1" applyFill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3" fillId="0" borderId="0" xfId="0" applyFont="1"/>
    <xf numFmtId="0" fontId="5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1" xfId="0" applyFont="1" applyBorder="1"/>
    <xf numFmtId="0" fontId="14" fillId="0" borderId="1" xfId="0" applyFont="1" applyBorder="1"/>
    <xf numFmtId="0" fontId="16" fillId="8" borderId="1" xfId="0" applyFont="1" applyFill="1" applyBorder="1"/>
    <xf numFmtId="0" fontId="7" fillId="8" borderId="1" xfId="0" applyFont="1" applyFill="1" applyBorder="1"/>
    <xf numFmtId="0" fontId="5" fillId="0" borderId="1" xfId="0" quotePrefix="1" applyFont="1" applyBorder="1" applyAlignment="1">
      <alignment wrapText="1"/>
    </xf>
    <xf numFmtId="0" fontId="7" fillId="2" borderId="1" xfId="0" applyFont="1" applyFill="1" applyBorder="1" applyAlignment="1"/>
    <xf numFmtId="0" fontId="7" fillId="8" borderId="4" xfId="0" applyFont="1" applyFill="1" applyBorder="1"/>
    <xf numFmtId="0" fontId="9" fillId="8" borderId="4" xfId="0" applyFont="1" applyFill="1" applyBorder="1" applyAlignment="1"/>
    <xf numFmtId="0" fontId="5" fillId="8" borderId="1" xfId="0" applyFont="1" applyFill="1" applyBorder="1" applyAlignment="1">
      <alignment wrapText="1"/>
    </xf>
    <xf numFmtId="0" fontId="5" fillId="8" borderId="1" xfId="0" applyFont="1" applyFill="1" applyBorder="1"/>
    <xf numFmtId="0" fontId="9" fillId="8" borderId="7" xfId="0" applyFont="1" applyFill="1" applyBorder="1" applyAlignment="1"/>
    <xf numFmtId="0" fontId="7" fillId="8" borderId="4" xfId="0" applyFont="1" applyFill="1" applyBorder="1" applyAlignment="1"/>
    <xf numFmtId="0" fontId="5" fillId="8" borderId="0" xfId="0" applyFont="1" applyFill="1"/>
    <xf numFmtId="0" fontId="7" fillId="8" borderId="1" xfId="0" applyFont="1" applyFill="1" applyBorder="1" applyAlignment="1">
      <alignment wrapText="1"/>
    </xf>
    <xf numFmtId="0" fontId="7" fillId="0" borderId="1" xfId="0" applyFont="1" applyBorder="1" applyAlignment="1">
      <alignment horizontal="right"/>
    </xf>
    <xf numFmtId="0" fontId="15" fillId="11" borderId="1" xfId="0" applyFont="1" applyFill="1" applyBorder="1" applyAlignment="1"/>
    <xf numFmtId="0" fontId="5" fillId="11" borderId="1" xfId="0" applyFont="1" applyFill="1" applyBorder="1" applyAlignment="1">
      <alignment wrapText="1"/>
    </xf>
    <xf numFmtId="0" fontId="7" fillId="11" borderId="1" xfId="0" applyFont="1" applyFill="1" applyBorder="1" applyAlignment="1"/>
    <xf numFmtId="0" fontId="7" fillId="11" borderId="1" xfId="0" applyFont="1" applyFill="1" applyBorder="1"/>
    <xf numFmtId="0" fontId="7" fillId="11" borderId="1" xfId="0" applyFont="1" applyFill="1" applyBorder="1" applyAlignment="1">
      <alignment wrapText="1"/>
    </xf>
    <xf numFmtId="0" fontId="5" fillId="11" borderId="0" xfId="0" applyFont="1" applyFill="1"/>
    <xf numFmtId="0" fontId="11" fillId="9" borderId="0" xfId="0" applyFont="1" applyFill="1" applyAlignment="1">
      <alignment vertical="top"/>
    </xf>
    <xf numFmtId="0" fontId="11" fillId="8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6" fillId="10" borderId="5" xfId="0" applyFont="1" applyFill="1" applyBorder="1" applyAlignment="1">
      <alignment vertical="top"/>
    </xf>
    <xf numFmtId="0" fontId="6" fillId="10" borderId="4" xfId="0" applyFont="1" applyFill="1" applyBorder="1" applyAlignment="1">
      <alignment vertical="top"/>
    </xf>
    <xf numFmtId="0" fontId="6" fillId="10" borderId="6" xfId="0" applyFont="1" applyFill="1" applyBorder="1" applyAlignment="1">
      <alignment vertical="top"/>
    </xf>
    <xf numFmtId="0" fontId="7" fillId="0" borderId="1" xfId="0" applyFont="1" applyBorder="1" applyAlignment="1">
      <alignment horizontal="right" vertical="top"/>
    </xf>
    <xf numFmtId="0" fontId="15" fillId="8" borderId="1" xfId="0" applyFont="1" applyFill="1" applyBorder="1" applyAlignment="1">
      <alignment vertical="top"/>
    </xf>
    <xf numFmtId="0" fontId="9" fillId="0" borderId="4" xfId="0" applyFont="1" applyBorder="1" applyAlignment="1">
      <alignment horizontal="left" vertical="top"/>
    </xf>
    <xf numFmtId="0" fontId="7" fillId="0" borderId="1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7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top"/>
    </xf>
    <xf numFmtId="0" fontId="7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0" fontId="7" fillId="8" borderId="1" xfId="0" applyFont="1" applyFill="1" applyBorder="1" applyAlignment="1">
      <alignment vertical="top"/>
    </xf>
    <xf numFmtId="0" fontId="10" fillId="8" borderId="8" xfId="0" applyFont="1" applyFill="1" applyBorder="1" applyAlignment="1">
      <alignment vertical="top"/>
    </xf>
    <xf numFmtId="0" fontId="10" fillId="8" borderId="8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/>
    </xf>
    <xf numFmtId="0" fontId="9" fillId="8" borderId="8" xfId="0" applyFont="1" applyFill="1" applyBorder="1" applyAlignment="1">
      <alignment vertical="top"/>
    </xf>
    <xf numFmtId="0" fontId="9" fillId="2" borderId="8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/>
    </xf>
    <xf numFmtId="0" fontId="10" fillId="8" borderId="4" xfId="0" applyFont="1" applyFill="1" applyBorder="1" applyAlignment="1">
      <alignment vertical="top"/>
    </xf>
    <xf numFmtId="0" fontId="10" fillId="8" borderId="1" xfId="0" applyFont="1" applyFill="1" applyBorder="1" applyAlignment="1">
      <alignment vertical="top"/>
    </xf>
    <xf numFmtId="0" fontId="10" fillId="8" borderId="0" xfId="0" applyFont="1" applyFill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10" fillId="8" borderId="0" xfId="0" applyFont="1" applyFill="1" applyAlignment="1">
      <alignment vertical="top"/>
    </xf>
    <xf numFmtId="0" fontId="5" fillId="8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7" fillId="8" borderId="4" xfId="0" applyFont="1" applyFill="1" applyBorder="1" applyAlignment="1">
      <alignment vertical="top"/>
    </xf>
    <xf numFmtId="0" fontId="5" fillId="0" borderId="1" xfId="0" quotePrefix="1" applyFont="1" applyBorder="1" applyAlignment="1">
      <alignment vertical="top"/>
    </xf>
    <xf numFmtId="0" fontId="10" fillId="8" borderId="4" xfId="0" applyFont="1" applyFill="1" applyBorder="1" applyAlignment="1">
      <alignment vertical="top" wrapText="1"/>
    </xf>
    <xf numFmtId="0" fontId="9" fillId="0" borderId="0" xfId="0" applyFont="1" applyAlignment="1">
      <alignment horizontal="left" vertical="top"/>
    </xf>
    <xf numFmtId="0" fontId="9" fillId="8" borderId="1" xfId="0" applyFont="1" applyFill="1" applyBorder="1" applyAlignment="1">
      <alignment horizontal="left" vertical="top"/>
    </xf>
    <xf numFmtId="0" fontId="9" fillId="8" borderId="1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7" fillId="8" borderId="1" xfId="0" applyFont="1" applyFill="1" applyBorder="1" applyAlignment="1">
      <alignment vertical="top"/>
    </xf>
    <xf numFmtId="0" fontId="14" fillId="8" borderId="1" xfId="0" applyFont="1" applyFill="1" applyBorder="1" applyAlignment="1">
      <alignment vertical="top"/>
    </xf>
    <xf numFmtId="0" fontId="18" fillId="8" borderId="1" xfId="0" applyFont="1" applyFill="1" applyBorder="1" applyAlignment="1">
      <alignment vertical="top"/>
    </xf>
    <xf numFmtId="0" fontId="13" fillId="8" borderId="1" xfId="0" applyFont="1" applyFill="1" applyBorder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1" xfId="0" applyFont="1" applyBorder="1" applyAlignment="1">
      <alignment horizontal="right" vertical="top"/>
    </xf>
    <xf numFmtId="0" fontId="14" fillId="8" borderId="1" xfId="0" applyFont="1" applyFill="1" applyBorder="1" applyAlignment="1">
      <alignment vertical="top" wrapText="1"/>
    </xf>
    <xf numFmtId="0" fontId="13" fillId="0" borderId="0" xfId="0" applyFont="1" applyAlignment="1">
      <alignment vertical="top"/>
    </xf>
    <xf numFmtId="0" fontId="19" fillId="8" borderId="1" xfId="0" applyFont="1" applyFill="1" applyBorder="1" applyAlignment="1">
      <alignment horizontal="left" vertical="top"/>
    </xf>
    <xf numFmtId="0" fontId="14" fillId="8" borderId="4" xfId="0" applyFont="1" applyFill="1" applyBorder="1" applyAlignment="1">
      <alignment vertical="top"/>
    </xf>
    <xf numFmtId="0" fontId="15" fillId="8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0" fontId="20" fillId="9" borderId="1" xfId="0" applyFont="1" applyFill="1" applyBorder="1" applyAlignment="1"/>
    <xf numFmtId="0" fontId="20" fillId="10" borderId="1" xfId="0" applyFont="1" applyFill="1" applyBorder="1" applyAlignment="1"/>
    <xf numFmtId="0" fontId="15" fillId="8" borderId="1" xfId="0" applyFont="1" applyFill="1" applyBorder="1" applyAlignment="1"/>
    <xf numFmtId="0" fontId="21" fillId="8" borderId="1" xfId="0" applyFont="1" applyFill="1" applyBorder="1" applyAlignment="1"/>
    <xf numFmtId="0" fontId="15" fillId="0" borderId="1" xfId="0" applyFont="1" applyBorder="1" applyAlignment="1"/>
    <xf numFmtId="0" fontId="10" fillId="0" borderId="6" xfId="0" applyFont="1" applyBorder="1" applyAlignment="1"/>
    <xf numFmtId="0" fontId="10" fillId="0" borderId="6" xfId="0" applyFont="1" applyBorder="1" applyAlignment="1">
      <alignment horizontal="right"/>
    </xf>
    <xf numFmtId="0" fontId="9" fillId="0" borderId="0" xfId="0" applyFont="1" applyAlignment="1"/>
    <xf numFmtId="0" fontId="10" fillId="0" borderId="1" xfId="0" applyFont="1" applyBorder="1"/>
    <xf numFmtId="0" fontId="10" fillId="0" borderId="4" xfId="0" applyFont="1" applyBorder="1" applyAlignment="1"/>
    <xf numFmtId="0" fontId="17" fillId="0" borderId="1" xfId="0" applyFont="1" applyBorder="1" applyAlignment="1"/>
    <xf numFmtId="0" fontId="22" fillId="0" borderId="6" xfId="0" applyFont="1" applyBorder="1" applyAlignment="1"/>
    <xf numFmtId="0" fontId="22" fillId="0" borderId="6" xfId="0" applyFont="1" applyBorder="1" applyAlignment="1">
      <alignment horizontal="right"/>
    </xf>
    <xf numFmtId="0" fontId="22" fillId="0" borderId="4" xfId="0" applyFont="1" applyBorder="1" applyAlignment="1"/>
    <xf numFmtId="0" fontId="22" fillId="0" borderId="4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0" xfId="0" applyFont="1" applyAlignment="1">
      <alignment vertical="center"/>
    </xf>
    <xf numFmtId="0" fontId="10" fillId="0" borderId="1" xfId="0" applyFont="1" applyBorder="1" applyAlignment="1"/>
    <xf numFmtId="0" fontId="10" fillId="0" borderId="5" xfId="0" applyFont="1" applyBorder="1" applyAlignment="1"/>
    <xf numFmtId="0" fontId="4" fillId="0" borderId="0" xfId="0" applyFont="1"/>
    <xf numFmtId="0" fontId="20" fillId="9" borderId="0" xfId="0" applyFont="1" applyFill="1" applyAlignment="1"/>
    <xf numFmtId="0" fontId="20" fillId="9" borderId="0" xfId="0" applyFont="1" applyFill="1" applyAlignment="1">
      <alignment wrapText="1"/>
    </xf>
    <xf numFmtId="0" fontId="20" fillId="10" borderId="5" xfId="0" applyFont="1" applyFill="1" applyBorder="1" applyAlignment="1"/>
    <xf numFmtId="0" fontId="20" fillId="10" borderId="4" xfId="0" applyFont="1" applyFill="1" applyBorder="1" applyAlignment="1"/>
    <xf numFmtId="0" fontId="20" fillId="10" borderId="6" xfId="0" applyFont="1" applyFill="1" applyBorder="1" applyAlignment="1"/>
    <xf numFmtId="0" fontId="20" fillId="10" borderId="6" xfId="0" applyFont="1" applyFill="1" applyBorder="1" applyAlignment="1">
      <alignment wrapText="1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2" fillId="0" borderId="1" xfId="0" applyFont="1" applyBorder="1" applyAlignment="1">
      <alignment horizontal="right"/>
    </xf>
    <xf numFmtId="0" fontId="22" fillId="0" borderId="1" xfId="0" applyFont="1" applyBorder="1" applyAlignment="1">
      <alignment wrapText="1"/>
    </xf>
    <xf numFmtId="0" fontId="23" fillId="8" borderId="0" xfId="0" applyFont="1" applyFill="1" applyAlignment="1"/>
    <xf numFmtId="0" fontId="23" fillId="8" borderId="0" xfId="0" applyFont="1" applyFill="1" applyAlignment="1">
      <alignment wrapText="1"/>
    </xf>
    <xf numFmtId="0" fontId="10" fillId="8" borderId="1" xfId="0" applyFont="1" applyFill="1" applyBorder="1" applyAlignment="1"/>
    <xf numFmtId="0" fontId="10" fillId="8" borderId="1" xfId="0" applyFont="1" applyFill="1" applyBorder="1" applyAlignment="1">
      <alignment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wrapText="1"/>
    </xf>
    <xf numFmtId="0" fontId="22" fillId="0" borderId="1" xfId="0" quotePrefix="1" applyFont="1" applyBorder="1" applyAlignment="1"/>
    <xf numFmtId="0" fontId="22" fillId="0" borderId="1" xfId="0" applyFont="1" applyBorder="1" applyAlignment="1">
      <alignment horizontal="left"/>
    </xf>
    <xf numFmtId="0" fontId="22" fillId="0" borderId="1" xfId="0" applyFont="1" applyBorder="1" applyAlignment="1"/>
    <xf numFmtId="0" fontId="10" fillId="13" borderId="1" xfId="0" applyFont="1" applyFill="1" applyBorder="1" applyAlignment="1">
      <alignment wrapText="1"/>
    </xf>
    <xf numFmtId="0" fontId="10" fillId="14" borderId="1" xfId="0" applyFont="1" applyFill="1" applyBorder="1" applyAlignment="1">
      <alignment wrapText="1"/>
    </xf>
    <xf numFmtId="0" fontId="22" fillId="0" borderId="1" xfId="0" applyFont="1" applyBorder="1"/>
    <xf numFmtId="0" fontId="10" fillId="2" borderId="1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/>
    <xf numFmtId="0" fontId="10" fillId="0" borderId="0" xfId="0" applyFont="1" applyAlignment="1">
      <alignment wrapText="1"/>
    </xf>
    <xf numFmtId="0" fontId="10" fillId="12" borderId="0" xfId="0" applyFont="1" applyFill="1" applyAlignment="1">
      <alignment wrapText="1"/>
    </xf>
    <xf numFmtId="0" fontId="22" fillId="9" borderId="1" xfId="0" applyFont="1" applyFill="1" applyBorder="1" applyAlignment="1">
      <alignment horizontal="left"/>
    </xf>
    <xf numFmtId="0" fontId="22" fillId="9" borderId="1" xfId="0" applyFont="1" applyFill="1" applyBorder="1" applyAlignment="1">
      <alignment wrapText="1"/>
    </xf>
    <xf numFmtId="0" fontId="22" fillId="9" borderId="1" xfId="0" applyFont="1" applyFill="1" applyBorder="1" applyAlignment="1"/>
    <xf numFmtId="0" fontId="13" fillId="9" borderId="0" xfId="0" applyFont="1" applyFill="1"/>
    <xf numFmtId="0" fontId="10" fillId="15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0" fillId="15" borderId="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wrapText="1"/>
    </xf>
    <xf numFmtId="0" fontId="10" fillId="2" borderId="1" xfId="0" applyFont="1" applyFill="1" applyBorder="1" applyAlignment="1"/>
    <xf numFmtId="0" fontId="10" fillId="17" borderId="1" xfId="0" applyFont="1" applyFill="1" applyBorder="1" applyAlignment="1">
      <alignment wrapText="1"/>
    </xf>
    <xf numFmtId="0" fontId="10" fillId="9" borderId="1" xfId="0" applyFont="1" applyFill="1" applyBorder="1" applyAlignment="1"/>
    <xf numFmtId="0" fontId="10" fillId="9" borderId="1" xfId="0" applyFont="1" applyFill="1" applyBorder="1" applyAlignment="1">
      <alignment wrapText="1"/>
    </xf>
    <xf numFmtId="0" fontId="10" fillId="9" borderId="1" xfId="0" applyFont="1" applyFill="1" applyBorder="1" applyAlignment="1">
      <alignment horizontal="left"/>
    </xf>
    <xf numFmtId="0" fontId="5" fillId="9" borderId="0" xfId="0" applyFont="1" applyFill="1"/>
    <xf numFmtId="0" fontId="22" fillId="9" borderId="1" xfId="0" applyFont="1" applyFill="1" applyBorder="1"/>
    <xf numFmtId="0" fontId="10" fillId="12" borderId="1" xfId="0" applyFont="1" applyFill="1" applyBorder="1" applyAlignment="1">
      <alignment wrapText="1"/>
    </xf>
    <xf numFmtId="0" fontId="10" fillId="18" borderId="1" xfId="0" applyFont="1" applyFill="1" applyBorder="1" applyAlignment="1">
      <alignment wrapText="1"/>
    </xf>
    <xf numFmtId="0" fontId="10" fillId="16" borderId="1" xfId="0" applyFont="1" applyFill="1" applyBorder="1" applyAlignment="1">
      <alignment horizontal="left" wrapText="1"/>
    </xf>
    <xf numFmtId="0" fontId="10" fillId="16" borderId="1" xfId="0" applyFont="1" applyFill="1" applyBorder="1" applyAlignment="1">
      <alignment wrapText="1"/>
    </xf>
    <xf numFmtId="0" fontId="19" fillId="9" borderId="1" xfId="0" applyFont="1" applyFill="1" applyBorder="1" applyAlignment="1"/>
    <xf numFmtId="0" fontId="24" fillId="9" borderId="1" xfId="0" applyFont="1" applyFill="1" applyBorder="1" applyAlignment="1">
      <alignment wrapText="1"/>
    </xf>
    <xf numFmtId="0" fontId="10" fillId="19" borderId="1" xfId="0" applyFont="1" applyFill="1" applyBorder="1" applyAlignment="1"/>
    <xf numFmtId="0" fontId="25" fillId="9" borderId="1" xfId="0" applyFont="1" applyFill="1" applyBorder="1" applyAlignment="1"/>
    <xf numFmtId="0" fontId="25" fillId="8" borderId="0" xfId="0" applyFont="1" applyFill="1" applyAlignment="1"/>
    <xf numFmtId="0" fontId="26" fillId="0" borderId="0" xfId="0" applyFont="1"/>
    <xf numFmtId="0" fontId="25" fillId="10" borderId="1" xfId="0" applyFont="1" applyFill="1" applyBorder="1" applyAlignment="1"/>
    <xf numFmtId="0" fontId="27" fillId="0" borderId="1" xfId="0" applyFont="1" applyBorder="1" applyAlignment="1">
      <alignment horizontal="right"/>
    </xf>
    <xf numFmtId="0" fontId="28" fillId="8" borderId="1" xfId="0" applyFont="1" applyFill="1" applyBorder="1" applyAlignment="1"/>
    <xf numFmtId="0" fontId="27" fillId="0" borderId="1" xfId="0" applyFont="1" applyBorder="1" applyAlignment="1">
      <alignment horizontal="left"/>
    </xf>
    <xf numFmtId="0" fontId="27" fillId="0" borderId="1" xfId="0" applyFont="1" applyBorder="1" applyAlignment="1"/>
    <xf numFmtId="0" fontId="29" fillId="8" borderId="1" xfId="0" applyFont="1" applyFill="1" applyBorder="1" applyAlignment="1"/>
    <xf numFmtId="0" fontId="27" fillId="20" borderId="1" xfId="0" applyFont="1" applyFill="1" applyBorder="1" applyAlignment="1">
      <alignment horizontal="right"/>
    </xf>
    <xf numFmtId="0" fontId="28" fillId="20" borderId="1" xfId="0" applyFont="1" applyFill="1" applyBorder="1" applyAlignment="1"/>
    <xf numFmtId="0" fontId="27" fillId="20" borderId="1" xfId="0" applyFont="1" applyFill="1" applyBorder="1" applyAlignment="1">
      <alignment horizontal="left"/>
    </xf>
    <xf numFmtId="0" fontId="27" fillId="20" borderId="1" xfId="0" applyFont="1" applyFill="1" applyBorder="1" applyAlignment="1"/>
    <xf numFmtId="0" fontId="27" fillId="2" borderId="1" xfId="0" applyFont="1" applyFill="1" applyBorder="1" applyAlignment="1">
      <alignment horizontal="right"/>
    </xf>
    <xf numFmtId="0" fontId="28" fillId="2" borderId="1" xfId="0" applyFont="1" applyFill="1" applyBorder="1" applyAlignment="1"/>
    <xf numFmtId="0" fontId="26" fillId="2" borderId="1" xfId="0" applyFont="1" applyFill="1" applyBorder="1"/>
    <xf numFmtId="0" fontId="27" fillId="2" borderId="1" xfId="0" applyFont="1" applyFill="1" applyBorder="1" applyAlignment="1"/>
    <xf numFmtId="0" fontId="26" fillId="0" borderId="1" xfId="0" applyFont="1" applyBorder="1" applyAlignment="1"/>
    <xf numFmtId="0" fontId="26" fillId="0" borderId="1" xfId="0" applyFont="1" applyBorder="1"/>
    <xf numFmtId="0" fontId="28" fillId="0" borderId="1" xfId="0" applyFont="1" applyBorder="1" applyAlignment="1"/>
    <xf numFmtId="0" fontId="5" fillId="2" borderId="0" xfId="0" applyFont="1" applyFill="1" applyAlignment="1">
      <alignment vertical="top"/>
    </xf>
    <xf numFmtId="0" fontId="27" fillId="0" borderId="6" xfId="0" applyFont="1" applyBorder="1" applyAlignment="1"/>
    <xf numFmtId="0" fontId="27" fillId="0" borderId="6" xfId="0" applyFont="1" applyBorder="1" applyAlignment="1">
      <alignment horizontal="right"/>
    </xf>
    <xf numFmtId="0" fontId="26" fillId="0" borderId="1" xfId="0" applyFont="1" applyBorder="1" applyAlignment="1">
      <alignment horizontal="right"/>
    </xf>
    <xf numFmtId="0" fontId="27" fillId="0" borderId="1" xfId="0" applyFont="1" applyBorder="1"/>
    <xf numFmtId="0" fontId="27" fillId="0" borderId="4" xfId="0" applyFont="1" applyBorder="1" applyAlignment="1">
      <alignment horizontal="right"/>
    </xf>
    <xf numFmtId="0" fontId="30" fillId="0" borderId="0" xfId="0" applyFont="1"/>
    <xf numFmtId="0" fontId="27" fillId="0" borderId="0" xfId="0" applyFont="1" applyAlignment="1">
      <alignment vertical="center"/>
    </xf>
    <xf numFmtId="0" fontId="27" fillId="2" borderId="1" xfId="0" applyFont="1" applyFill="1" applyBorder="1"/>
    <xf numFmtId="0" fontId="11" fillId="8" borderId="1" xfId="0" applyFont="1" applyFill="1" applyBorder="1"/>
    <xf numFmtId="0" fontId="7" fillId="0" borderId="5" xfId="0" applyFont="1" applyBorder="1" applyAlignment="1">
      <alignment horizontal="right"/>
    </xf>
    <xf numFmtId="0" fontId="15" fillId="8" borderId="0" xfId="0" applyFont="1" applyFill="1" applyAlignment="1"/>
    <xf numFmtId="0" fontId="15" fillId="8" borderId="5" xfId="0" applyFont="1" applyFill="1" applyBorder="1" applyAlignment="1"/>
    <xf numFmtId="0" fontId="7" fillId="0" borderId="4" xfId="0" applyFont="1" applyBorder="1" applyAlignment="1"/>
    <xf numFmtId="0" fontId="12" fillId="0" borderId="4" xfId="0" applyFont="1" applyBorder="1" applyAlignment="1"/>
    <xf numFmtId="0" fontId="15" fillId="8" borderId="4" xfId="0" applyFont="1" applyFill="1" applyBorder="1" applyAlignment="1"/>
    <xf numFmtId="0" fontId="7" fillId="8" borderId="5" xfId="0" applyFont="1" applyFill="1" applyBorder="1" applyAlignment="1">
      <alignment horizontal="right"/>
    </xf>
    <xf numFmtId="0" fontId="7" fillId="8" borderId="6" xfId="0" applyFont="1" applyFill="1" applyBorder="1" applyAlignment="1"/>
    <xf numFmtId="0" fontId="12" fillId="8" borderId="4" xfId="0" applyFont="1" applyFill="1" applyBorder="1" applyAlignment="1"/>
    <xf numFmtId="0" fontId="5" fillId="0" borderId="1" xfId="0" quotePrefix="1" applyFont="1" applyBorder="1"/>
    <xf numFmtId="0" fontId="9" fillId="8" borderId="1" xfId="0" applyFont="1" applyFill="1" applyBorder="1" applyAlignment="1">
      <alignment horizontal="left"/>
    </xf>
    <xf numFmtId="0" fontId="11" fillId="0" borderId="0" xfId="0" applyFont="1"/>
    <xf numFmtId="0" fontId="17" fillId="8" borderId="1" xfId="0" applyFont="1" applyFill="1" applyBorder="1" applyAlignment="1"/>
    <xf numFmtId="0" fontId="14" fillId="0" borderId="1" xfId="0" applyFont="1" applyBorder="1" applyAlignment="1"/>
    <xf numFmtId="0" fontId="19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1" fillId="0" borderId="1" xfId="0" applyFont="1" applyBorder="1" applyAlignment="1">
      <alignment horizontal="right"/>
    </xf>
    <xf numFmtId="0" fontId="31" fillId="0" borderId="1" xfId="0" applyFont="1" applyBorder="1" applyAlignment="1"/>
    <xf numFmtId="0" fontId="16" fillId="8" borderId="0" xfId="0" applyFont="1" applyFill="1"/>
    <xf numFmtId="0" fontId="32" fillId="0" borderId="1" xfId="0" applyFont="1" applyBorder="1" applyAlignment="1">
      <alignment wrapText="1"/>
    </xf>
    <xf numFmtId="0" fontId="5" fillId="0" borderId="0" xfId="0" quotePrefix="1" applyFont="1"/>
    <xf numFmtId="0" fontId="11" fillId="9" borderId="1" xfId="0" applyFont="1" applyFill="1" applyBorder="1"/>
    <xf numFmtId="0" fontId="11" fillId="0" borderId="2" xfId="0" applyFont="1" applyBorder="1"/>
    <xf numFmtId="0" fontId="11" fillId="0" borderId="9" xfId="0" applyFont="1" applyBorder="1"/>
    <xf numFmtId="0" fontId="11" fillId="0" borderId="10" xfId="0" applyFont="1" applyBorder="1"/>
    <xf numFmtId="0" fontId="5" fillId="0" borderId="9" xfId="0" applyFont="1" applyBorder="1"/>
    <xf numFmtId="0" fontId="11" fillId="9" borderId="5" xfId="0" applyFont="1" applyFill="1" applyBorder="1"/>
    <xf numFmtId="0" fontId="33" fillId="8" borderId="0" xfId="0" applyFont="1" applyFill="1"/>
    <xf numFmtId="0" fontId="7" fillId="0" borderId="1" xfId="0" quotePrefix="1" applyFont="1" applyBorder="1"/>
    <xf numFmtId="0" fontId="9" fillId="2" borderId="1" xfId="0" applyFont="1" applyFill="1" applyBorder="1" applyAlignment="1">
      <alignment horizontal="left"/>
    </xf>
    <xf numFmtId="0" fontId="9" fillId="2" borderId="0" xfId="0" applyFont="1" applyFill="1" applyAlignment="1"/>
    <xf numFmtId="0" fontId="7" fillId="2" borderId="0" xfId="0" applyFont="1" applyFill="1"/>
    <xf numFmtId="0" fontId="19" fillId="0" borderId="1" xfId="0" applyFont="1" applyBorder="1" applyAlignment="1"/>
    <xf numFmtId="0" fontId="7" fillId="0" borderId="2" xfId="0" applyFont="1" applyBorder="1"/>
    <xf numFmtId="0" fontId="5" fillId="0" borderId="2" xfId="0" applyFont="1" applyBorder="1"/>
    <xf numFmtId="0" fontId="9" fillId="0" borderId="2" xfId="0" applyFont="1" applyBorder="1" applyAlignment="1">
      <alignment horizontal="left"/>
    </xf>
    <xf numFmtId="0" fontId="7" fillId="0" borderId="10" xfId="0" applyFont="1" applyBorder="1"/>
    <xf numFmtId="0" fontId="5" fillId="0" borderId="10" xfId="0" applyFont="1" applyBorder="1"/>
    <xf numFmtId="0" fontId="6" fillId="0" borderId="0" xfId="0" applyFont="1"/>
    <xf numFmtId="0" fontId="5" fillId="0" borderId="1" xfId="0" applyFont="1" applyBorder="1"/>
    <xf numFmtId="0" fontId="0" fillId="0" borderId="0" xfId="0"/>
    <xf numFmtId="0" fontId="34" fillId="0" borderId="0" xfId="0" applyFont="1"/>
    <xf numFmtId="0" fontId="35" fillId="0" borderId="0" xfId="0" applyFont="1"/>
    <xf numFmtId="0" fontId="36" fillId="21" borderId="12" xfId="0" applyFont="1" applyFill="1" applyBorder="1" applyAlignment="1">
      <alignment horizontal="center" vertical="center" wrapText="1"/>
    </xf>
    <xf numFmtId="0" fontId="37" fillId="22" borderId="12" xfId="0" applyFont="1" applyFill="1" applyBorder="1" applyAlignment="1">
      <alignment horizontal="center" vertical="center" wrapText="1"/>
    </xf>
    <xf numFmtId="0" fontId="37" fillId="22" borderId="12" xfId="0" applyFont="1" applyFill="1" applyBorder="1" applyAlignment="1">
      <alignment horizontal="left" vertical="center" wrapText="1"/>
    </xf>
    <xf numFmtId="0" fontId="37" fillId="23" borderId="12" xfId="0" applyFont="1" applyFill="1" applyBorder="1" applyAlignment="1">
      <alignment horizontal="center" vertical="center" wrapText="1"/>
    </xf>
    <xf numFmtId="0" fontId="37" fillId="23" borderId="12" xfId="0" applyFont="1" applyFill="1" applyBorder="1" applyAlignment="1">
      <alignment horizontal="left" vertical="center" wrapText="1"/>
    </xf>
    <xf numFmtId="0" fontId="37" fillId="24" borderId="12" xfId="0" applyFont="1" applyFill="1" applyBorder="1" applyAlignment="1">
      <alignment horizontal="center" vertical="center" wrapText="1"/>
    </xf>
    <xf numFmtId="0" fontId="37" fillId="24" borderId="12" xfId="0" applyFont="1" applyFill="1" applyBorder="1" applyAlignment="1">
      <alignment horizontal="left" vertical="center" wrapText="1"/>
    </xf>
    <xf numFmtId="0" fontId="37" fillId="25" borderId="12" xfId="0" applyFont="1" applyFill="1" applyBorder="1" applyAlignment="1">
      <alignment horizontal="center" vertical="center" wrapText="1"/>
    </xf>
    <xf numFmtId="0" fontId="37" fillId="25" borderId="12" xfId="0" applyFont="1" applyFill="1" applyBorder="1" applyAlignment="1">
      <alignment horizontal="left" vertical="center" wrapText="1"/>
    </xf>
    <xf numFmtId="0" fontId="37" fillId="26" borderId="12" xfId="0" applyFont="1" applyFill="1" applyBorder="1" applyAlignment="1">
      <alignment horizontal="center" vertical="center" wrapText="1"/>
    </xf>
    <xf numFmtId="0" fontId="37" fillId="26" borderId="12" xfId="0" applyFont="1" applyFill="1" applyBorder="1" applyAlignment="1">
      <alignment horizontal="left" vertical="center" wrapText="1"/>
    </xf>
    <xf numFmtId="0" fontId="37" fillId="27" borderId="12" xfId="0" applyFont="1" applyFill="1" applyBorder="1" applyAlignment="1">
      <alignment horizontal="center" vertical="center" wrapText="1"/>
    </xf>
    <xf numFmtId="0" fontId="37" fillId="27" borderId="12" xfId="0" applyFont="1" applyFill="1" applyBorder="1" applyAlignment="1">
      <alignment horizontal="left" vertical="center" wrapText="1"/>
    </xf>
    <xf numFmtId="0" fontId="37" fillId="28" borderId="12" xfId="0" applyFont="1" applyFill="1" applyBorder="1" applyAlignment="1">
      <alignment horizontal="center" vertical="center" wrapText="1"/>
    </xf>
    <xf numFmtId="0" fontId="37" fillId="28" borderId="12" xfId="0" applyFont="1" applyFill="1" applyBorder="1" applyAlignment="1">
      <alignment horizontal="left" vertical="center" wrapText="1"/>
    </xf>
    <xf numFmtId="0" fontId="6" fillId="5" borderId="11" xfId="0" applyFont="1" applyFill="1" applyBorder="1"/>
    <xf numFmtId="0" fontId="6" fillId="6" borderId="11" xfId="0" applyFont="1" applyFill="1" applyBorder="1"/>
    <xf numFmtId="0" fontId="6" fillId="7" borderId="11" xfId="0" applyFont="1" applyFill="1" applyBorder="1"/>
    <xf numFmtId="0" fontId="5" fillId="2" borderId="1" xfId="0" applyFont="1" applyFill="1" applyBorder="1"/>
    <xf numFmtId="0" fontId="9" fillId="0" borderId="1" xfId="0" applyFont="1" applyBorder="1"/>
    <xf numFmtId="0" fontId="9" fillId="0" borderId="1" xfId="0" applyFont="1" applyBorder="1" applyAlignment="1">
      <alignment vertical="top" wrapText="1"/>
    </xf>
    <xf numFmtId="0" fontId="9" fillId="8" borderId="1" xfId="0" applyFont="1" applyFill="1" applyBorder="1"/>
    <xf numFmtId="0" fontId="5" fillId="0" borderId="5" xfId="0" applyFont="1" applyBorder="1" applyAlignment="1"/>
    <xf numFmtId="0" fontId="5" fillId="0" borderId="1" xfId="0" applyFont="1" applyBorder="1" applyAlignment="1"/>
    <xf numFmtId="0" fontId="5" fillId="11" borderId="1" xfId="0" applyFont="1" applyFill="1" applyBorder="1"/>
    <xf numFmtId="0" fontId="11" fillId="8" borderId="0" xfId="0" applyFont="1" applyFill="1" applyAlignment="1">
      <alignment vertical="top" wrapText="1"/>
    </xf>
    <xf numFmtId="0" fontId="11" fillId="9" borderId="0" xfId="0" applyFont="1" applyFill="1" applyAlignment="1">
      <alignment vertical="top" wrapText="1"/>
    </xf>
    <xf numFmtId="0" fontId="11" fillId="8" borderId="0" xfId="0" applyFont="1" applyFill="1" applyAlignment="1"/>
    <xf numFmtId="0" fontId="5" fillId="0" borderId="0" xfId="0" applyFont="1" applyAlignment="1"/>
    <xf numFmtId="0" fontId="13" fillId="0" borderId="0" xfId="0" applyFont="1" applyAlignment="1"/>
    <xf numFmtId="0" fontId="10" fillId="0" borderId="0" xfId="0" applyFont="1"/>
    <xf numFmtId="0" fontId="10" fillId="2" borderId="1" xfId="0" applyFont="1" applyFill="1" applyBorder="1"/>
    <xf numFmtId="0" fontId="9" fillId="8" borderId="1" xfId="0" applyFont="1" applyFill="1" applyBorder="1" applyAlignment="1">
      <alignment horizontal="left" vertical="top" wrapText="1"/>
    </xf>
    <xf numFmtId="0" fontId="10" fillId="2" borderId="0" xfId="0" applyFont="1" applyFill="1"/>
    <xf numFmtId="0" fontId="22" fillId="9" borderId="0" xfId="0" applyFont="1" applyFill="1"/>
    <xf numFmtId="0" fontId="22" fillId="0" borderId="0" xfId="0" applyFont="1"/>
    <xf numFmtId="0" fontId="10" fillId="9" borderId="1" xfId="0" applyFont="1" applyFill="1" applyBorder="1"/>
    <xf numFmtId="0" fontId="10" fillId="9" borderId="0" xfId="0" applyFont="1" applyFill="1"/>
    <xf numFmtId="0" fontId="10" fillId="19" borderId="1" xfId="0" applyFont="1" applyFill="1" applyBorder="1"/>
    <xf numFmtId="0" fontId="5" fillId="8" borderId="5" xfId="0" applyFont="1" applyFill="1" applyBorder="1" applyAlignment="1"/>
    <xf numFmtId="0" fontId="5" fillId="8" borderId="1" xfId="0" applyFont="1" applyFill="1" applyBorder="1" applyAlignment="1"/>
    <xf numFmtId="0" fontId="19" fillId="0" borderId="1" xfId="0" applyFont="1" applyBorder="1"/>
    <xf numFmtId="0" fontId="19" fillId="0" borderId="1" xfId="0" applyFont="1" applyBorder="1" applyAlignment="1">
      <alignment wrapText="1"/>
    </xf>
    <xf numFmtId="0" fontId="23" fillId="0" borderId="1" xfId="0" applyFont="1" applyBorder="1"/>
    <xf numFmtId="0" fontId="9" fillId="0" borderId="0" xfId="0" applyFont="1"/>
    <xf numFmtId="0" fontId="32" fillId="0" borderId="1" xfId="0" applyFont="1" applyBorder="1"/>
    <xf numFmtId="0" fontId="9" fillId="0" borderId="2" xfId="0" applyFont="1" applyBorder="1" applyAlignment="1">
      <alignment wrapText="1"/>
    </xf>
    <xf numFmtId="0" fontId="20" fillId="9" borderId="0" xfId="0" applyFont="1" applyFill="1"/>
    <xf numFmtId="0" fontId="7" fillId="0" borderId="1" xfId="0" applyFont="1" applyBorder="1" applyAlignment="1">
      <alignment wrapText="1"/>
    </xf>
    <xf numFmtId="0" fontId="7" fillId="0" borderId="1" xfId="0" applyFont="1" applyBorder="1" applyAlignment="1"/>
    <xf numFmtId="0" fontId="12" fillId="0" borderId="1" xfId="0" applyFont="1" applyBorder="1" applyAlignment="1"/>
    <xf numFmtId="0" fontId="7" fillId="0" borderId="1" xfId="0" applyFont="1" applyBorder="1" applyAlignment="1">
      <alignment wrapText="1"/>
    </xf>
    <xf numFmtId="0" fontId="0" fillId="0" borderId="5" xfId="0" applyBorder="1" applyAlignment="1"/>
    <xf numFmtId="0" fontId="7" fillId="0" borderId="1" xfId="0" applyFont="1" applyBorder="1" applyAlignment="1"/>
    <xf numFmtId="0" fontId="1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://los.id/" TargetMode="External"/><Relationship Id="rId2" Type="http://schemas.openxmlformats.org/officeDocument/2006/relationships/hyperlink" Target="http://d.id/" TargetMode="External"/><Relationship Id="rId1" Type="http://schemas.openxmlformats.org/officeDocument/2006/relationships/hyperlink" Target="http://los.id/" TargetMode="External"/><Relationship Id="rId4" Type="http://schemas.openxmlformats.org/officeDocument/2006/relationships/hyperlink" Target="http://d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opLeftCell="A15" workbookViewId="0">
      <selection activeCell="B29" sqref="B29:B33"/>
    </sheetView>
  </sheetViews>
  <sheetFormatPr defaultRowHeight="15"/>
  <cols>
    <col min="1" max="1" width="6" style="259" customWidth="1"/>
    <col min="2" max="2" width="13" style="259" customWidth="1"/>
    <col min="3" max="3" width="26" style="259" customWidth="1"/>
    <col min="4" max="4" width="22" style="259" customWidth="1"/>
    <col min="5" max="5" width="30" style="259" customWidth="1"/>
    <col min="6" max="6" width="21.28515625" style="259" customWidth="1"/>
    <col min="7" max="7" width="26" style="259" customWidth="1"/>
    <col min="8" max="8" width="42" style="259" customWidth="1"/>
    <col min="9" max="9" width="38" style="259" customWidth="1"/>
    <col min="10" max="10" width="42" style="259" customWidth="1"/>
    <col min="11" max="11" width="12" style="259" customWidth="1"/>
  </cols>
  <sheetData>
    <row r="1" spans="1:11">
      <c r="A1" s="260" t="s">
        <v>0</v>
      </c>
    </row>
    <row r="2" spans="1:11">
      <c r="A2" s="261" t="s">
        <v>1</v>
      </c>
    </row>
    <row r="4" spans="1:11" ht="27.95" customHeight="1">
      <c r="A4" s="262" t="s">
        <v>2</v>
      </c>
      <c r="B4" s="262" t="s">
        <v>3</v>
      </c>
      <c r="C4" s="262" t="s">
        <v>4</v>
      </c>
      <c r="D4" s="262" t="s">
        <v>5</v>
      </c>
      <c r="E4" s="262" t="s">
        <v>6</v>
      </c>
      <c r="F4" s="262" t="s">
        <v>7</v>
      </c>
      <c r="G4" s="262" t="s">
        <v>8</v>
      </c>
      <c r="H4" s="262" t="s">
        <v>9</v>
      </c>
      <c r="I4" s="262" t="s">
        <v>10</v>
      </c>
      <c r="J4" s="262" t="s">
        <v>11</v>
      </c>
      <c r="K4" s="262" t="s">
        <v>12</v>
      </c>
    </row>
    <row r="5" spans="1:11">
      <c r="A5" s="263">
        <v>1</v>
      </c>
      <c r="B5" s="263" t="s">
        <v>13</v>
      </c>
      <c r="C5" s="264" t="s">
        <v>14</v>
      </c>
      <c r="D5" s="264" t="s">
        <v>15</v>
      </c>
      <c r="E5" s="264" t="s">
        <v>16</v>
      </c>
      <c r="F5" s="264" t="s">
        <v>17</v>
      </c>
      <c r="G5" s="264" t="s">
        <v>18</v>
      </c>
      <c r="H5" s="264" t="s">
        <v>19</v>
      </c>
      <c r="I5" s="264" t="s">
        <v>20</v>
      </c>
      <c r="J5" s="264" t="s">
        <v>21</v>
      </c>
      <c r="K5" s="263" t="s">
        <v>22</v>
      </c>
    </row>
    <row r="6" spans="1:11">
      <c r="A6" s="263">
        <v>2</v>
      </c>
      <c r="B6" s="263" t="s">
        <v>13</v>
      </c>
      <c r="C6" s="264" t="s">
        <v>14</v>
      </c>
      <c r="D6" s="264" t="s">
        <v>15</v>
      </c>
      <c r="E6" s="264" t="s">
        <v>23</v>
      </c>
      <c r="F6" s="264" t="s">
        <v>24</v>
      </c>
      <c r="G6" s="264" t="s">
        <v>25</v>
      </c>
      <c r="H6" s="264" t="s">
        <v>26</v>
      </c>
      <c r="I6" s="264" t="s">
        <v>27</v>
      </c>
      <c r="J6" s="264" t="s">
        <v>28</v>
      </c>
      <c r="K6" s="263" t="s">
        <v>22</v>
      </c>
    </row>
    <row r="7" spans="1:11">
      <c r="A7" s="263">
        <v>3</v>
      </c>
      <c r="B7" s="263" t="s">
        <v>13</v>
      </c>
      <c r="C7" s="264" t="s">
        <v>14</v>
      </c>
      <c r="D7" s="264" t="s">
        <v>15</v>
      </c>
      <c r="E7" s="264" t="s">
        <v>29</v>
      </c>
      <c r="F7" s="264" t="s">
        <v>30</v>
      </c>
      <c r="G7" s="264" t="s">
        <v>31</v>
      </c>
      <c r="H7" s="264" t="s">
        <v>32</v>
      </c>
      <c r="I7" s="264" t="s">
        <v>33</v>
      </c>
      <c r="J7" s="264" t="s">
        <v>34</v>
      </c>
      <c r="K7" s="263" t="s">
        <v>22</v>
      </c>
    </row>
    <row r="8" spans="1:11">
      <c r="A8" s="263">
        <v>4</v>
      </c>
      <c r="B8" s="263" t="s">
        <v>13</v>
      </c>
      <c r="C8" s="264" t="s">
        <v>14</v>
      </c>
      <c r="D8" s="264" t="s">
        <v>15</v>
      </c>
      <c r="E8" s="264" t="s">
        <v>35</v>
      </c>
      <c r="F8" s="264" t="s">
        <v>36</v>
      </c>
      <c r="G8" s="264" t="s">
        <v>31</v>
      </c>
      <c r="H8" s="264" t="s">
        <v>37</v>
      </c>
      <c r="I8" s="264" t="s">
        <v>38</v>
      </c>
      <c r="J8" s="264" t="s">
        <v>39</v>
      </c>
      <c r="K8" s="263" t="s">
        <v>22</v>
      </c>
    </row>
    <row r="9" spans="1:11">
      <c r="A9" s="263">
        <v>5</v>
      </c>
      <c r="B9" s="263" t="s">
        <v>13</v>
      </c>
      <c r="C9" s="264" t="s">
        <v>14</v>
      </c>
      <c r="D9" s="264" t="s">
        <v>15</v>
      </c>
      <c r="E9" s="264" t="s">
        <v>40</v>
      </c>
      <c r="F9" s="264" t="s">
        <v>41</v>
      </c>
      <c r="G9" s="264" t="s">
        <v>31</v>
      </c>
      <c r="H9" s="264" t="s">
        <v>42</v>
      </c>
      <c r="I9" s="264" t="s">
        <v>43</v>
      </c>
      <c r="J9" s="264" t="s">
        <v>44</v>
      </c>
      <c r="K9" s="263" t="s">
        <v>22</v>
      </c>
    </row>
    <row r="10" spans="1:11">
      <c r="A10" s="263">
        <v>6</v>
      </c>
      <c r="B10" s="263" t="s">
        <v>13</v>
      </c>
      <c r="C10" s="264" t="s">
        <v>14</v>
      </c>
      <c r="D10" s="264" t="s">
        <v>15</v>
      </c>
      <c r="E10" s="264" t="s">
        <v>45</v>
      </c>
      <c r="F10" s="264" t="s">
        <v>46</v>
      </c>
      <c r="G10" s="264" t="s">
        <v>47</v>
      </c>
      <c r="H10" s="264" t="s">
        <v>48</v>
      </c>
      <c r="I10" s="264" t="s">
        <v>49</v>
      </c>
      <c r="J10" s="264" t="s">
        <v>50</v>
      </c>
      <c r="K10" s="263" t="s">
        <v>22</v>
      </c>
    </row>
    <row r="11" spans="1:11">
      <c r="A11" s="263">
        <v>7</v>
      </c>
      <c r="B11" s="263" t="s">
        <v>13</v>
      </c>
      <c r="C11" s="264" t="s">
        <v>14</v>
      </c>
      <c r="D11" s="264" t="s">
        <v>15</v>
      </c>
      <c r="E11" s="264" t="s">
        <v>51</v>
      </c>
      <c r="F11" s="264" t="s">
        <v>52</v>
      </c>
      <c r="G11" s="264" t="s">
        <v>47</v>
      </c>
      <c r="H11" s="264" t="s">
        <v>53</v>
      </c>
      <c r="I11" s="264" t="s">
        <v>54</v>
      </c>
      <c r="J11" s="264" t="s">
        <v>55</v>
      </c>
      <c r="K11" s="263" t="s">
        <v>22</v>
      </c>
    </row>
    <row r="12" spans="1:11">
      <c r="A12" s="263">
        <v>8</v>
      </c>
      <c r="B12" s="263" t="s">
        <v>13</v>
      </c>
      <c r="C12" s="264" t="s">
        <v>14</v>
      </c>
      <c r="D12" s="264" t="s">
        <v>15</v>
      </c>
      <c r="E12" s="264" t="s">
        <v>56</v>
      </c>
      <c r="F12" s="264" t="s">
        <v>57</v>
      </c>
      <c r="G12" s="264" t="s">
        <v>47</v>
      </c>
      <c r="H12" s="264" t="s">
        <v>58</v>
      </c>
      <c r="I12" s="264" t="s">
        <v>59</v>
      </c>
      <c r="J12" s="264" t="s">
        <v>60</v>
      </c>
      <c r="K12" s="263" t="s">
        <v>22</v>
      </c>
    </row>
    <row r="13" spans="1:11">
      <c r="A13" s="265">
        <v>9</v>
      </c>
      <c r="B13" s="265" t="s">
        <v>61</v>
      </c>
      <c r="C13" s="266" t="s">
        <v>62</v>
      </c>
      <c r="D13" s="266" t="s">
        <v>63</v>
      </c>
      <c r="E13" s="266" t="s">
        <v>64</v>
      </c>
      <c r="F13" s="266" t="s">
        <v>65</v>
      </c>
      <c r="G13" s="266" t="s">
        <v>18</v>
      </c>
      <c r="H13" s="266" t="s">
        <v>66</v>
      </c>
      <c r="I13" s="266" t="s">
        <v>67</v>
      </c>
      <c r="J13" s="266" t="s">
        <v>68</v>
      </c>
      <c r="K13" s="265" t="s">
        <v>22</v>
      </c>
    </row>
    <row r="14" spans="1:11">
      <c r="A14" s="265">
        <v>10</v>
      </c>
      <c r="B14" s="265" t="s">
        <v>61</v>
      </c>
      <c r="C14" s="266" t="s">
        <v>62</v>
      </c>
      <c r="D14" s="266" t="s">
        <v>63</v>
      </c>
      <c r="E14" s="266" t="s">
        <v>69</v>
      </c>
      <c r="F14" s="266" t="s">
        <v>70</v>
      </c>
      <c r="G14" s="266" t="s">
        <v>25</v>
      </c>
      <c r="H14" s="266" t="s">
        <v>71</v>
      </c>
      <c r="I14" s="266" t="s">
        <v>72</v>
      </c>
      <c r="J14" s="266" t="s">
        <v>73</v>
      </c>
      <c r="K14" s="265" t="s">
        <v>22</v>
      </c>
    </row>
    <row r="15" spans="1:11">
      <c r="A15" s="265">
        <v>11</v>
      </c>
      <c r="B15" s="265" t="s">
        <v>61</v>
      </c>
      <c r="C15" s="266" t="s">
        <v>62</v>
      </c>
      <c r="D15" s="266" t="s">
        <v>63</v>
      </c>
      <c r="E15" s="266" t="s">
        <v>74</v>
      </c>
      <c r="F15" s="266" t="s">
        <v>75</v>
      </c>
      <c r="G15" s="266" t="s">
        <v>31</v>
      </c>
      <c r="H15" s="266" t="s">
        <v>76</v>
      </c>
      <c r="I15" s="266" t="s">
        <v>77</v>
      </c>
      <c r="J15" s="266" t="s">
        <v>78</v>
      </c>
      <c r="K15" s="265" t="s">
        <v>22</v>
      </c>
    </row>
    <row r="16" spans="1:11">
      <c r="A16" s="265">
        <v>12</v>
      </c>
      <c r="B16" s="265" t="s">
        <v>61</v>
      </c>
      <c r="C16" s="266" t="s">
        <v>62</v>
      </c>
      <c r="D16" s="266" t="s">
        <v>63</v>
      </c>
      <c r="E16" s="266" t="s">
        <v>79</v>
      </c>
      <c r="F16" s="266" t="s">
        <v>80</v>
      </c>
      <c r="G16" s="266" t="s">
        <v>81</v>
      </c>
      <c r="H16" s="266" t="s">
        <v>82</v>
      </c>
      <c r="I16" s="266" t="s">
        <v>83</v>
      </c>
      <c r="J16" s="266" t="s">
        <v>84</v>
      </c>
      <c r="K16" s="265" t="s">
        <v>22</v>
      </c>
    </row>
    <row r="17" spans="1:11">
      <c r="A17" s="267">
        <v>13</v>
      </c>
      <c r="B17" s="267" t="s">
        <v>85</v>
      </c>
      <c r="C17" s="268" t="s">
        <v>86</v>
      </c>
      <c r="D17" s="268" t="s">
        <v>87</v>
      </c>
      <c r="E17" s="268" t="s">
        <v>88</v>
      </c>
      <c r="F17" s="268" t="s">
        <v>89</v>
      </c>
      <c r="G17" s="268" t="s">
        <v>47</v>
      </c>
      <c r="H17" s="268" t="s">
        <v>90</v>
      </c>
      <c r="I17" s="268" t="s">
        <v>91</v>
      </c>
      <c r="J17" s="268" t="s">
        <v>92</v>
      </c>
      <c r="K17" s="267" t="s">
        <v>22</v>
      </c>
    </row>
    <row r="18" spans="1:11">
      <c r="A18" s="267">
        <v>14</v>
      </c>
      <c r="B18" s="267" t="s">
        <v>85</v>
      </c>
      <c r="C18" s="268" t="s">
        <v>86</v>
      </c>
      <c r="D18" s="268" t="s">
        <v>87</v>
      </c>
      <c r="E18" s="268" t="s">
        <v>93</v>
      </c>
      <c r="F18" s="268" t="s">
        <v>94</v>
      </c>
      <c r="G18" s="268" t="s">
        <v>81</v>
      </c>
      <c r="H18" s="268" t="s">
        <v>95</v>
      </c>
      <c r="I18" s="268" t="s">
        <v>96</v>
      </c>
      <c r="J18" s="268" t="s">
        <v>97</v>
      </c>
      <c r="K18" s="267" t="s">
        <v>22</v>
      </c>
    </row>
    <row r="19" spans="1:11">
      <c r="A19" s="267">
        <v>15</v>
      </c>
      <c r="B19" s="267" t="s">
        <v>85</v>
      </c>
      <c r="C19" s="268" t="s">
        <v>86</v>
      </c>
      <c r="D19" s="268" t="s">
        <v>87</v>
      </c>
      <c r="E19" s="268" t="s">
        <v>98</v>
      </c>
      <c r="F19" s="268" t="s">
        <v>99</v>
      </c>
      <c r="G19" s="268" t="s">
        <v>47</v>
      </c>
      <c r="H19" s="268" t="s">
        <v>100</v>
      </c>
      <c r="I19" s="268" t="s">
        <v>49</v>
      </c>
      <c r="J19" s="268" t="s">
        <v>101</v>
      </c>
      <c r="K19" s="267" t="s">
        <v>22</v>
      </c>
    </row>
    <row r="20" spans="1:11">
      <c r="A20" s="267">
        <v>16</v>
      </c>
      <c r="B20" s="267" t="s">
        <v>85</v>
      </c>
      <c r="C20" s="268" t="s">
        <v>86</v>
      </c>
      <c r="D20" s="268" t="s">
        <v>87</v>
      </c>
      <c r="E20" s="268" t="s">
        <v>102</v>
      </c>
      <c r="F20" s="268" t="s">
        <v>103</v>
      </c>
      <c r="G20" s="268" t="s">
        <v>81</v>
      </c>
      <c r="H20" s="268" t="s">
        <v>104</v>
      </c>
      <c r="I20" s="268" t="s">
        <v>105</v>
      </c>
      <c r="J20" s="268" t="s">
        <v>106</v>
      </c>
      <c r="K20" s="267" t="s">
        <v>22</v>
      </c>
    </row>
    <row r="21" spans="1:11">
      <c r="A21" s="267">
        <v>17</v>
      </c>
      <c r="B21" s="267" t="s">
        <v>85</v>
      </c>
      <c r="C21" s="268" t="s">
        <v>86</v>
      </c>
      <c r="D21" s="268" t="s">
        <v>87</v>
      </c>
      <c r="E21" s="268" t="s">
        <v>107</v>
      </c>
      <c r="F21" s="268" t="s">
        <v>108</v>
      </c>
      <c r="G21" s="268" t="s">
        <v>47</v>
      </c>
      <c r="H21" s="268" t="s">
        <v>109</v>
      </c>
      <c r="I21" s="268" t="s">
        <v>110</v>
      </c>
      <c r="J21" s="268" t="s">
        <v>111</v>
      </c>
      <c r="K21" s="267" t="s">
        <v>22</v>
      </c>
    </row>
    <row r="22" spans="1:11">
      <c r="A22" s="267">
        <v>18</v>
      </c>
      <c r="B22" s="267" t="s">
        <v>85</v>
      </c>
      <c r="C22" s="268" t="s">
        <v>86</v>
      </c>
      <c r="D22" s="268" t="s">
        <v>87</v>
      </c>
      <c r="E22" s="268" t="s">
        <v>112</v>
      </c>
      <c r="F22" s="268" t="s">
        <v>113</v>
      </c>
      <c r="G22" s="268" t="s">
        <v>81</v>
      </c>
      <c r="H22" s="268" t="s">
        <v>114</v>
      </c>
      <c r="I22" s="268" t="s">
        <v>115</v>
      </c>
      <c r="J22" s="268" t="s">
        <v>116</v>
      </c>
      <c r="K22" s="267" t="s">
        <v>22</v>
      </c>
    </row>
    <row r="23" spans="1:11">
      <c r="A23" s="267">
        <v>19</v>
      </c>
      <c r="B23" s="267" t="s">
        <v>85</v>
      </c>
      <c r="C23" s="268" t="s">
        <v>86</v>
      </c>
      <c r="D23" s="268" t="s">
        <v>87</v>
      </c>
      <c r="E23" s="268" t="s">
        <v>117</v>
      </c>
      <c r="F23" s="268" t="s">
        <v>118</v>
      </c>
      <c r="G23" s="268" t="s">
        <v>47</v>
      </c>
      <c r="H23" s="268" t="s">
        <v>119</v>
      </c>
      <c r="I23" s="268" t="s">
        <v>120</v>
      </c>
      <c r="J23" s="268" t="s">
        <v>121</v>
      </c>
      <c r="K23" s="267" t="s">
        <v>22</v>
      </c>
    </row>
    <row r="24" spans="1:11">
      <c r="A24" s="267">
        <v>20</v>
      </c>
      <c r="B24" s="267" t="s">
        <v>85</v>
      </c>
      <c r="C24" s="268" t="s">
        <v>86</v>
      </c>
      <c r="D24" s="268" t="s">
        <v>87</v>
      </c>
      <c r="E24" s="268" t="s">
        <v>122</v>
      </c>
      <c r="F24" s="268" t="s">
        <v>123</v>
      </c>
      <c r="G24" s="268" t="s">
        <v>47</v>
      </c>
      <c r="H24" s="268" t="s">
        <v>124</v>
      </c>
      <c r="I24" s="268" t="s">
        <v>125</v>
      </c>
      <c r="J24" s="268" t="s">
        <v>126</v>
      </c>
      <c r="K24" s="267" t="s">
        <v>22</v>
      </c>
    </row>
    <row r="25" spans="1:11">
      <c r="A25" s="267">
        <v>21</v>
      </c>
      <c r="B25" s="267" t="s">
        <v>85</v>
      </c>
      <c r="C25" s="268" t="s">
        <v>86</v>
      </c>
      <c r="D25" s="268" t="s">
        <v>87</v>
      </c>
      <c r="E25" s="268" t="s">
        <v>127</v>
      </c>
      <c r="F25" s="268" t="s">
        <v>128</v>
      </c>
      <c r="G25" s="268" t="s">
        <v>81</v>
      </c>
      <c r="H25" s="268" t="s">
        <v>129</v>
      </c>
      <c r="I25" s="268" t="s">
        <v>130</v>
      </c>
      <c r="J25" s="268" t="s">
        <v>131</v>
      </c>
      <c r="K25" s="267" t="s">
        <v>22</v>
      </c>
    </row>
    <row r="26" spans="1:11">
      <c r="A26" s="267">
        <v>22</v>
      </c>
      <c r="B26" s="267" t="s">
        <v>85</v>
      </c>
      <c r="C26" s="268" t="s">
        <v>86</v>
      </c>
      <c r="D26" s="268" t="s">
        <v>87</v>
      </c>
      <c r="E26" s="268" t="s">
        <v>132</v>
      </c>
      <c r="F26" s="268" t="s">
        <v>133</v>
      </c>
      <c r="G26" s="268" t="s">
        <v>47</v>
      </c>
      <c r="H26" s="268" t="s">
        <v>134</v>
      </c>
      <c r="I26" s="268" t="s">
        <v>135</v>
      </c>
      <c r="J26" s="268" t="s">
        <v>136</v>
      </c>
      <c r="K26" s="267" t="s">
        <v>22</v>
      </c>
    </row>
    <row r="27" spans="1:11">
      <c r="A27" s="267">
        <v>23</v>
      </c>
      <c r="B27" s="267" t="s">
        <v>85</v>
      </c>
      <c r="C27" s="268" t="s">
        <v>86</v>
      </c>
      <c r="D27" s="268" t="s">
        <v>87</v>
      </c>
      <c r="E27" s="268" t="s">
        <v>137</v>
      </c>
      <c r="F27" s="268" t="s">
        <v>138</v>
      </c>
      <c r="G27" s="268" t="s">
        <v>81</v>
      </c>
      <c r="H27" s="268" t="s">
        <v>139</v>
      </c>
      <c r="I27" s="268" t="s">
        <v>140</v>
      </c>
      <c r="J27" s="268" t="s">
        <v>141</v>
      </c>
      <c r="K27" s="267" t="s">
        <v>22</v>
      </c>
    </row>
    <row r="28" spans="1:11">
      <c r="A28" s="267">
        <v>24</v>
      </c>
      <c r="B28" s="267" t="s">
        <v>85</v>
      </c>
      <c r="C28" s="268" t="s">
        <v>86</v>
      </c>
      <c r="D28" s="268" t="s">
        <v>87</v>
      </c>
      <c r="E28" s="268" t="s">
        <v>142</v>
      </c>
      <c r="F28" s="268" t="s">
        <v>143</v>
      </c>
      <c r="G28" s="268" t="s">
        <v>81</v>
      </c>
      <c r="H28" s="268" t="s">
        <v>144</v>
      </c>
      <c r="I28" s="268" t="s">
        <v>145</v>
      </c>
      <c r="J28" s="268" t="s">
        <v>146</v>
      </c>
      <c r="K28" s="267" t="s">
        <v>22</v>
      </c>
    </row>
    <row r="29" spans="1:11" ht="27">
      <c r="A29" s="269">
        <v>25</v>
      </c>
      <c r="B29" s="269" t="s">
        <v>147</v>
      </c>
      <c r="C29" s="270" t="s">
        <v>148</v>
      </c>
      <c r="D29" s="270" t="s">
        <v>149</v>
      </c>
      <c r="E29" s="270" t="s">
        <v>150</v>
      </c>
      <c r="F29" s="270" t="s">
        <v>151</v>
      </c>
      <c r="G29" s="270" t="s">
        <v>18</v>
      </c>
      <c r="H29" s="270" t="s">
        <v>152</v>
      </c>
      <c r="I29" s="270" t="s">
        <v>153</v>
      </c>
      <c r="J29" s="270" t="s">
        <v>154</v>
      </c>
      <c r="K29" s="269" t="s">
        <v>22</v>
      </c>
    </row>
    <row r="30" spans="1:11" ht="27">
      <c r="A30" s="269">
        <v>26</v>
      </c>
      <c r="B30" s="269" t="s">
        <v>147</v>
      </c>
      <c r="C30" s="270" t="s">
        <v>148</v>
      </c>
      <c r="D30" s="270" t="s">
        <v>149</v>
      </c>
      <c r="E30" s="270" t="s">
        <v>155</v>
      </c>
      <c r="F30" s="270" t="s">
        <v>156</v>
      </c>
      <c r="G30" s="270" t="s">
        <v>18</v>
      </c>
      <c r="H30" s="270" t="s">
        <v>157</v>
      </c>
      <c r="I30" s="270" t="s">
        <v>158</v>
      </c>
      <c r="J30" s="270" t="s">
        <v>159</v>
      </c>
      <c r="K30" s="269" t="s">
        <v>22</v>
      </c>
    </row>
    <row r="31" spans="1:11" ht="27">
      <c r="A31" s="269">
        <v>27</v>
      </c>
      <c r="B31" s="269" t="s">
        <v>147</v>
      </c>
      <c r="C31" s="270" t="s">
        <v>148</v>
      </c>
      <c r="D31" s="270" t="s">
        <v>149</v>
      </c>
      <c r="E31" s="270" t="s">
        <v>160</v>
      </c>
      <c r="F31" s="270" t="s">
        <v>161</v>
      </c>
      <c r="G31" s="270" t="s">
        <v>31</v>
      </c>
      <c r="H31" s="270" t="s">
        <v>162</v>
      </c>
      <c r="I31" s="270" t="s">
        <v>163</v>
      </c>
      <c r="J31" s="270" t="s">
        <v>164</v>
      </c>
      <c r="K31" s="269" t="s">
        <v>22</v>
      </c>
    </row>
    <row r="32" spans="1:11" ht="27">
      <c r="A32" s="269">
        <v>28</v>
      </c>
      <c r="B32" s="269" t="s">
        <v>147</v>
      </c>
      <c r="C32" s="270" t="s">
        <v>148</v>
      </c>
      <c r="D32" s="270" t="s">
        <v>149</v>
      </c>
      <c r="E32" s="270" t="s">
        <v>165</v>
      </c>
      <c r="F32" s="270" t="s">
        <v>166</v>
      </c>
      <c r="G32" s="270" t="s">
        <v>47</v>
      </c>
      <c r="H32" s="270" t="s">
        <v>167</v>
      </c>
      <c r="I32" s="270" t="s">
        <v>168</v>
      </c>
      <c r="J32" s="270" t="s">
        <v>169</v>
      </c>
      <c r="K32" s="269" t="s">
        <v>22</v>
      </c>
    </row>
    <row r="33" spans="1:11" ht="27">
      <c r="A33" s="269">
        <v>29</v>
      </c>
      <c r="B33" s="269" t="s">
        <v>147</v>
      </c>
      <c r="C33" s="270" t="s">
        <v>148</v>
      </c>
      <c r="D33" s="270" t="s">
        <v>149</v>
      </c>
      <c r="E33" s="270" t="s">
        <v>170</v>
      </c>
      <c r="F33" s="270" t="s">
        <v>171</v>
      </c>
      <c r="G33" s="270" t="s">
        <v>25</v>
      </c>
      <c r="H33" s="270" t="s">
        <v>172</v>
      </c>
      <c r="I33" s="270" t="s">
        <v>173</v>
      </c>
      <c r="J33" s="270" t="s">
        <v>174</v>
      </c>
      <c r="K33" s="269" t="s">
        <v>22</v>
      </c>
    </row>
    <row r="34" spans="1:11">
      <c r="A34" s="271">
        <v>30</v>
      </c>
      <c r="B34" s="271" t="s">
        <v>175</v>
      </c>
      <c r="C34" s="272" t="s">
        <v>176</v>
      </c>
      <c r="D34" s="272" t="s">
        <v>177</v>
      </c>
      <c r="E34" s="272" t="s">
        <v>178</v>
      </c>
      <c r="F34" s="272" t="s">
        <v>179</v>
      </c>
      <c r="G34" s="272" t="s">
        <v>47</v>
      </c>
      <c r="H34" s="272" t="s">
        <v>180</v>
      </c>
      <c r="I34" s="272" t="s">
        <v>181</v>
      </c>
      <c r="J34" s="272" t="s">
        <v>182</v>
      </c>
      <c r="K34" s="271" t="s">
        <v>22</v>
      </c>
    </row>
    <row r="35" spans="1:11">
      <c r="A35" s="271">
        <v>31</v>
      </c>
      <c r="B35" s="271" t="s">
        <v>175</v>
      </c>
      <c r="C35" s="272" t="s">
        <v>183</v>
      </c>
      <c r="D35" s="272" t="s">
        <v>177</v>
      </c>
      <c r="E35" s="272" t="s">
        <v>184</v>
      </c>
      <c r="F35" s="272" t="s">
        <v>185</v>
      </c>
      <c r="G35" s="272" t="s">
        <v>25</v>
      </c>
      <c r="H35" s="272" t="s">
        <v>186</v>
      </c>
      <c r="I35" s="272" t="s">
        <v>187</v>
      </c>
      <c r="J35" s="272" t="s">
        <v>188</v>
      </c>
      <c r="K35" s="271" t="s">
        <v>22</v>
      </c>
    </row>
    <row r="36" spans="1:11">
      <c r="A36" s="271">
        <v>32</v>
      </c>
      <c r="B36" s="271" t="s">
        <v>175</v>
      </c>
      <c r="C36" s="272" t="s">
        <v>183</v>
      </c>
      <c r="D36" s="272" t="s">
        <v>177</v>
      </c>
      <c r="E36" s="272" t="s">
        <v>189</v>
      </c>
      <c r="F36" s="272" t="s">
        <v>190</v>
      </c>
      <c r="G36" s="272" t="s">
        <v>31</v>
      </c>
      <c r="H36" s="272" t="s">
        <v>191</v>
      </c>
      <c r="I36" s="272" t="s">
        <v>192</v>
      </c>
      <c r="J36" s="272" t="s">
        <v>193</v>
      </c>
      <c r="K36" s="271" t="s">
        <v>22</v>
      </c>
    </row>
    <row r="37" spans="1:11">
      <c r="A37" s="271">
        <v>33</v>
      </c>
      <c r="B37" s="271" t="s">
        <v>175</v>
      </c>
      <c r="C37" s="272" t="s">
        <v>183</v>
      </c>
      <c r="D37" s="272" t="s">
        <v>177</v>
      </c>
      <c r="E37" s="272" t="s">
        <v>194</v>
      </c>
      <c r="F37" s="272" t="s">
        <v>195</v>
      </c>
      <c r="G37" s="272" t="s">
        <v>47</v>
      </c>
      <c r="H37" s="272" t="s">
        <v>196</v>
      </c>
      <c r="I37" s="272" t="s">
        <v>197</v>
      </c>
      <c r="J37" s="272" t="s">
        <v>198</v>
      </c>
      <c r="K37" s="271" t="s">
        <v>22</v>
      </c>
    </row>
    <row r="38" spans="1:11">
      <c r="A38" s="273">
        <v>34</v>
      </c>
      <c r="B38" s="273" t="s">
        <v>199</v>
      </c>
      <c r="C38" s="274" t="s">
        <v>200</v>
      </c>
      <c r="D38" s="274" t="s">
        <v>201</v>
      </c>
      <c r="E38" s="274" t="s">
        <v>202</v>
      </c>
      <c r="F38" s="274" t="s">
        <v>203</v>
      </c>
      <c r="G38" s="274" t="s">
        <v>31</v>
      </c>
      <c r="H38" s="274" t="s">
        <v>204</v>
      </c>
      <c r="I38" s="274" t="s">
        <v>205</v>
      </c>
      <c r="J38" s="274" t="s">
        <v>206</v>
      </c>
      <c r="K38" s="273" t="s">
        <v>22</v>
      </c>
    </row>
    <row r="39" spans="1:11">
      <c r="A39" s="273">
        <v>35</v>
      </c>
      <c r="B39" s="273" t="s">
        <v>199</v>
      </c>
      <c r="C39" s="274" t="s">
        <v>200</v>
      </c>
      <c r="D39" s="274" t="s">
        <v>201</v>
      </c>
      <c r="E39" s="274" t="s">
        <v>207</v>
      </c>
      <c r="F39" s="274" t="s">
        <v>208</v>
      </c>
      <c r="G39" s="274" t="s">
        <v>47</v>
      </c>
      <c r="H39" s="274" t="s">
        <v>209</v>
      </c>
      <c r="I39" s="274" t="s">
        <v>210</v>
      </c>
      <c r="J39" s="274" t="s">
        <v>211</v>
      </c>
      <c r="K39" s="273" t="s">
        <v>22</v>
      </c>
    </row>
    <row r="40" spans="1:11">
      <c r="A40" s="273">
        <v>36</v>
      </c>
      <c r="B40" s="273" t="s">
        <v>199</v>
      </c>
      <c r="C40" s="274" t="s">
        <v>200</v>
      </c>
      <c r="D40" s="274" t="s">
        <v>201</v>
      </c>
      <c r="E40" s="274" t="s">
        <v>212</v>
      </c>
      <c r="F40" s="274" t="s">
        <v>213</v>
      </c>
      <c r="G40" s="274" t="s">
        <v>31</v>
      </c>
      <c r="H40" s="274" t="s">
        <v>214</v>
      </c>
      <c r="I40" s="274" t="s">
        <v>215</v>
      </c>
      <c r="J40" s="274" t="s">
        <v>216</v>
      </c>
      <c r="K40" s="273" t="s">
        <v>22</v>
      </c>
    </row>
    <row r="41" spans="1:11">
      <c r="A41" s="273">
        <v>37</v>
      </c>
      <c r="B41" s="273" t="s">
        <v>199</v>
      </c>
      <c r="C41" s="274" t="s">
        <v>200</v>
      </c>
      <c r="D41" s="274" t="s">
        <v>201</v>
      </c>
      <c r="E41" s="274" t="s">
        <v>217</v>
      </c>
      <c r="F41" s="274" t="s">
        <v>218</v>
      </c>
      <c r="G41" s="274" t="s">
        <v>31</v>
      </c>
      <c r="H41" s="274" t="s">
        <v>219</v>
      </c>
      <c r="I41" s="274" t="s">
        <v>220</v>
      </c>
      <c r="J41" s="274" t="s">
        <v>221</v>
      </c>
      <c r="K41" s="273" t="s">
        <v>22</v>
      </c>
    </row>
    <row r="42" spans="1:11">
      <c r="A42" s="273">
        <v>38</v>
      </c>
      <c r="B42" s="273" t="s">
        <v>199</v>
      </c>
      <c r="C42" s="274" t="s">
        <v>200</v>
      </c>
      <c r="D42" s="274" t="s">
        <v>201</v>
      </c>
      <c r="E42" s="274" t="s">
        <v>222</v>
      </c>
      <c r="F42" s="274" t="s">
        <v>223</v>
      </c>
      <c r="G42" s="274" t="s">
        <v>31</v>
      </c>
      <c r="H42" s="274" t="s">
        <v>224</v>
      </c>
      <c r="I42" s="274" t="s">
        <v>225</v>
      </c>
      <c r="J42" s="274" t="s">
        <v>226</v>
      </c>
      <c r="K42" s="273" t="s">
        <v>22</v>
      </c>
    </row>
    <row r="43" spans="1:11" ht="27.75" customHeight="1">
      <c r="A43" s="275">
        <v>39</v>
      </c>
      <c r="B43" s="275" t="s">
        <v>227</v>
      </c>
      <c r="C43" s="276" t="s">
        <v>228</v>
      </c>
      <c r="D43" s="276" t="s">
        <v>229</v>
      </c>
      <c r="E43" s="276" t="s">
        <v>230</v>
      </c>
      <c r="F43" s="276" t="s">
        <v>231</v>
      </c>
      <c r="G43" s="276" t="s">
        <v>232</v>
      </c>
      <c r="H43" s="276" t="s">
        <v>233</v>
      </c>
      <c r="I43" s="276" t="s">
        <v>234</v>
      </c>
      <c r="J43" s="276" t="s">
        <v>235</v>
      </c>
      <c r="K43" s="275" t="s">
        <v>22</v>
      </c>
    </row>
    <row r="44" spans="1:11" ht="35.25" customHeight="1">
      <c r="A44" s="275">
        <v>40</v>
      </c>
      <c r="B44" s="275" t="s">
        <v>227</v>
      </c>
      <c r="C44" s="276" t="s">
        <v>228</v>
      </c>
      <c r="D44" s="276" t="s">
        <v>229</v>
      </c>
      <c r="E44" s="276" t="s">
        <v>236</v>
      </c>
      <c r="F44" s="276" t="s">
        <v>237</v>
      </c>
      <c r="G44" s="276" t="s">
        <v>232</v>
      </c>
      <c r="H44" s="276" t="s">
        <v>238</v>
      </c>
      <c r="I44" s="276" t="s">
        <v>239</v>
      </c>
      <c r="J44" s="276" t="s">
        <v>240</v>
      </c>
      <c r="K44" s="27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66"/>
  <sheetViews>
    <sheetView workbookViewId="0"/>
  </sheetViews>
  <sheetFormatPr defaultColWidth="14.42578125" defaultRowHeight="15" customHeight="1"/>
  <cols>
    <col min="2" max="2" width="16.140625" style="259" customWidth="1"/>
    <col min="3" max="3" width="33.7109375" style="259" customWidth="1"/>
    <col min="4" max="4" width="46" style="259" customWidth="1"/>
    <col min="5" max="5" width="44.5703125" style="259" customWidth="1"/>
  </cols>
  <sheetData>
    <row r="1" spans="2:5">
      <c r="B1" s="1" t="s">
        <v>241</v>
      </c>
      <c r="C1" s="1" t="s">
        <v>242</v>
      </c>
      <c r="D1" s="1" t="s">
        <v>243</v>
      </c>
      <c r="E1" s="1" t="s">
        <v>244</v>
      </c>
    </row>
    <row r="2" spans="2:5">
      <c r="B2" s="2" t="s">
        <v>245</v>
      </c>
      <c r="C2" s="2" t="s">
        <v>246</v>
      </c>
      <c r="D2" s="3" t="s">
        <v>247</v>
      </c>
      <c r="E2" s="3"/>
    </row>
    <row r="3" spans="2:5">
      <c r="B3" s="4" t="s">
        <v>245</v>
      </c>
      <c r="C3" s="4" t="s">
        <v>248</v>
      </c>
      <c r="D3" s="5" t="s">
        <v>249</v>
      </c>
      <c r="E3" s="5"/>
    </row>
    <row r="4" spans="2:5">
      <c r="B4" s="2" t="s">
        <v>245</v>
      </c>
      <c r="C4" s="6" t="s">
        <v>250</v>
      </c>
      <c r="D4" s="3" t="s">
        <v>251</v>
      </c>
      <c r="E4" s="3" t="s">
        <v>252</v>
      </c>
    </row>
    <row r="5" spans="2:5">
      <c r="B5" s="4" t="s">
        <v>245</v>
      </c>
      <c r="C5" s="5" t="s">
        <v>253</v>
      </c>
      <c r="D5" s="5" t="s">
        <v>254</v>
      </c>
      <c r="E5" s="5"/>
    </row>
    <row r="6" spans="2:5">
      <c r="B6" s="2" t="s">
        <v>245</v>
      </c>
      <c r="C6" s="7" t="s">
        <v>255</v>
      </c>
      <c r="D6" s="3" t="s">
        <v>256</v>
      </c>
      <c r="E6" s="3" t="s">
        <v>257</v>
      </c>
    </row>
    <row r="7" spans="2:5">
      <c r="B7" s="4" t="s">
        <v>245</v>
      </c>
      <c r="C7" s="6" t="s">
        <v>258</v>
      </c>
      <c r="D7" s="5" t="s">
        <v>259</v>
      </c>
      <c r="E7" s="5" t="s">
        <v>260</v>
      </c>
    </row>
    <row r="8" spans="2:5">
      <c r="B8" s="2" t="s">
        <v>245</v>
      </c>
      <c r="C8" s="8" t="s">
        <v>261</v>
      </c>
      <c r="D8" s="3" t="s">
        <v>262</v>
      </c>
      <c r="E8" s="3" t="s">
        <v>263</v>
      </c>
    </row>
    <row r="9" spans="2:5">
      <c r="B9" s="4" t="s">
        <v>245</v>
      </c>
      <c r="C9" s="6" t="s">
        <v>264</v>
      </c>
      <c r="D9" s="5" t="s">
        <v>265</v>
      </c>
      <c r="E9" s="5" t="s">
        <v>266</v>
      </c>
    </row>
    <row r="10" spans="2:5">
      <c r="B10" s="2" t="s">
        <v>245</v>
      </c>
      <c r="C10" s="6" t="s">
        <v>267</v>
      </c>
      <c r="D10" s="3" t="s">
        <v>268</v>
      </c>
      <c r="E10" s="3" t="s">
        <v>269</v>
      </c>
    </row>
    <row r="11" spans="2:5">
      <c r="B11" s="4" t="s">
        <v>245</v>
      </c>
      <c r="C11" s="8" t="s">
        <v>270</v>
      </c>
      <c r="D11" s="5" t="s">
        <v>271</v>
      </c>
      <c r="E11" s="5" t="s">
        <v>272</v>
      </c>
    </row>
    <row r="12" spans="2:5">
      <c r="B12" s="2" t="s">
        <v>245</v>
      </c>
      <c r="C12" s="9" t="s">
        <v>273</v>
      </c>
      <c r="D12" s="3" t="s">
        <v>274</v>
      </c>
      <c r="E12" s="3" t="s">
        <v>272</v>
      </c>
    </row>
    <row r="13" spans="2:5">
      <c r="B13" s="4" t="s">
        <v>245</v>
      </c>
      <c r="C13" s="6" t="s">
        <v>275</v>
      </c>
      <c r="D13" s="5" t="s">
        <v>276</v>
      </c>
      <c r="E13" s="5" t="s">
        <v>277</v>
      </c>
    </row>
    <row r="14" spans="2:5">
      <c r="B14" s="2" t="s">
        <v>245</v>
      </c>
      <c r="C14" s="8" t="s">
        <v>278</v>
      </c>
      <c r="D14" s="3" t="s">
        <v>279</v>
      </c>
      <c r="E14" s="3" t="s">
        <v>280</v>
      </c>
    </row>
    <row r="15" spans="2:5">
      <c r="B15" s="4" t="s">
        <v>245</v>
      </c>
      <c r="C15" s="8" t="s">
        <v>281</v>
      </c>
      <c r="D15" s="5" t="s">
        <v>282</v>
      </c>
      <c r="E15" s="5" t="s">
        <v>283</v>
      </c>
    </row>
    <row r="16" spans="2:5">
      <c r="B16" s="2" t="s">
        <v>245</v>
      </c>
      <c r="C16" s="8" t="s">
        <v>284</v>
      </c>
      <c r="D16" s="3" t="s">
        <v>285</v>
      </c>
      <c r="E16" s="3" t="s">
        <v>286</v>
      </c>
    </row>
    <row r="17" spans="2:5">
      <c r="B17" s="4" t="s">
        <v>245</v>
      </c>
      <c r="C17" s="4" t="s">
        <v>287</v>
      </c>
      <c r="D17" s="5" t="s">
        <v>288</v>
      </c>
      <c r="E17" s="5"/>
    </row>
    <row r="18" spans="2:5">
      <c r="B18" s="2" t="s">
        <v>245</v>
      </c>
      <c r="C18" s="8" t="s">
        <v>289</v>
      </c>
      <c r="D18" s="3" t="s">
        <v>290</v>
      </c>
      <c r="E18" s="3" t="s">
        <v>291</v>
      </c>
    </row>
    <row r="19" spans="2:5">
      <c r="B19" s="4" t="s">
        <v>245</v>
      </c>
      <c r="C19" s="4" t="s">
        <v>292</v>
      </c>
      <c r="D19" s="5" t="s">
        <v>293</v>
      </c>
      <c r="E19" s="5"/>
    </row>
    <row r="20" spans="2:5">
      <c r="B20" s="2" t="s">
        <v>245</v>
      </c>
      <c r="C20" s="6" t="s">
        <v>294</v>
      </c>
      <c r="D20" s="3" t="s">
        <v>295</v>
      </c>
      <c r="E20" s="3" t="s">
        <v>269</v>
      </c>
    </row>
    <row r="21" spans="2:5">
      <c r="B21" s="4" t="s">
        <v>245</v>
      </c>
      <c r="C21" s="4" t="s">
        <v>296</v>
      </c>
      <c r="D21" s="5" t="s">
        <v>297</v>
      </c>
      <c r="E21" s="5"/>
    </row>
    <row r="22" spans="2:5">
      <c r="B22" s="2" t="s">
        <v>245</v>
      </c>
      <c r="C22" s="2" t="s">
        <v>298</v>
      </c>
      <c r="D22" s="3" t="s">
        <v>299</v>
      </c>
      <c r="E22" s="3"/>
    </row>
    <row r="23" spans="2:5">
      <c r="B23" s="4" t="s">
        <v>245</v>
      </c>
      <c r="C23" s="4" t="s">
        <v>300</v>
      </c>
      <c r="D23" s="5" t="s">
        <v>301</v>
      </c>
      <c r="E23" s="5"/>
    </row>
    <row r="24" spans="2:5">
      <c r="B24" s="2" t="s">
        <v>245</v>
      </c>
      <c r="C24" s="2" t="s">
        <v>302</v>
      </c>
      <c r="D24" s="3" t="s">
        <v>303</v>
      </c>
      <c r="E24" s="3"/>
    </row>
    <row r="25" spans="2:5">
      <c r="B25" s="4" t="s">
        <v>245</v>
      </c>
      <c r="C25" s="4" t="s">
        <v>304</v>
      </c>
      <c r="D25" s="5" t="s">
        <v>305</v>
      </c>
      <c r="E25" s="5"/>
    </row>
    <row r="26" spans="2:5">
      <c r="B26" s="2" t="s">
        <v>245</v>
      </c>
      <c r="C26" s="2" t="s">
        <v>306</v>
      </c>
      <c r="D26" s="3" t="s">
        <v>307</v>
      </c>
      <c r="E26" s="3"/>
    </row>
    <row r="27" spans="2:5">
      <c r="B27" s="4" t="s">
        <v>245</v>
      </c>
      <c r="C27" s="4" t="s">
        <v>308</v>
      </c>
      <c r="D27" s="5" t="s">
        <v>309</v>
      </c>
      <c r="E27" s="5" t="s">
        <v>310</v>
      </c>
    </row>
    <row r="28" spans="2:5">
      <c r="B28" s="2" t="s">
        <v>245</v>
      </c>
      <c r="C28" s="2" t="s">
        <v>311</v>
      </c>
      <c r="D28" s="3" t="s">
        <v>312</v>
      </c>
      <c r="E28" s="3"/>
    </row>
    <row r="29" spans="2:5">
      <c r="B29" s="4" t="s">
        <v>245</v>
      </c>
      <c r="C29" s="4" t="s">
        <v>313</v>
      </c>
      <c r="D29" s="5" t="s">
        <v>314</v>
      </c>
      <c r="E29" s="5" t="s">
        <v>315</v>
      </c>
    </row>
    <row r="30" spans="2:5">
      <c r="B30" s="2" t="s">
        <v>245</v>
      </c>
      <c r="C30" s="2" t="s">
        <v>316</v>
      </c>
      <c r="D30" s="3" t="s">
        <v>317</v>
      </c>
      <c r="E30" s="3"/>
    </row>
    <row r="31" spans="2:5">
      <c r="B31" s="4" t="s">
        <v>245</v>
      </c>
      <c r="C31" s="8" t="s">
        <v>318</v>
      </c>
      <c r="D31" s="5" t="s">
        <v>319</v>
      </c>
      <c r="E31" s="5" t="s">
        <v>320</v>
      </c>
    </row>
    <row r="32" spans="2:5">
      <c r="B32" s="2" t="s">
        <v>245</v>
      </c>
      <c r="C32" s="6" t="s">
        <v>321</v>
      </c>
      <c r="D32" s="3" t="s">
        <v>322</v>
      </c>
      <c r="E32" s="3" t="s">
        <v>323</v>
      </c>
    </row>
    <row r="33" spans="2:5">
      <c r="B33" s="4" t="s">
        <v>245</v>
      </c>
      <c r="C33" s="4" t="s">
        <v>324</v>
      </c>
      <c r="D33" s="5" t="s">
        <v>325</v>
      </c>
      <c r="E33" s="5"/>
    </row>
    <row r="34" spans="2:5">
      <c r="B34" s="2" t="s">
        <v>245</v>
      </c>
      <c r="C34" s="2" t="s">
        <v>326</v>
      </c>
      <c r="D34" s="3" t="s">
        <v>327</v>
      </c>
      <c r="E34" s="3"/>
    </row>
    <row r="35" spans="2:5">
      <c r="B35" s="4" t="s">
        <v>245</v>
      </c>
      <c r="C35" s="4" t="s">
        <v>328</v>
      </c>
      <c r="D35" s="5" t="s">
        <v>329</v>
      </c>
      <c r="E35" s="5"/>
    </row>
    <row r="36" spans="2:5">
      <c r="B36" s="2" t="s">
        <v>245</v>
      </c>
      <c r="C36" s="8" t="s">
        <v>330</v>
      </c>
      <c r="D36" s="3" t="s">
        <v>331</v>
      </c>
      <c r="E36" s="3" t="s">
        <v>332</v>
      </c>
    </row>
    <row r="37" spans="2:5">
      <c r="B37" s="4" t="s">
        <v>245</v>
      </c>
      <c r="C37" s="4" t="s">
        <v>333</v>
      </c>
      <c r="D37" s="5" t="s">
        <v>334</v>
      </c>
      <c r="E37" s="5"/>
    </row>
    <row r="38" spans="2:5">
      <c r="B38" s="2" t="s">
        <v>245</v>
      </c>
      <c r="C38" s="2" t="s">
        <v>335</v>
      </c>
      <c r="D38" s="3" t="s">
        <v>336</v>
      </c>
      <c r="E38" s="3"/>
    </row>
    <row r="39" spans="2:5">
      <c r="B39" s="4" t="s">
        <v>245</v>
      </c>
      <c r="C39" s="6" t="s">
        <v>337</v>
      </c>
      <c r="D39" s="5"/>
      <c r="E39" s="10" t="s">
        <v>338</v>
      </c>
    </row>
    <row r="40" spans="2:5">
      <c r="B40" s="2" t="s">
        <v>245</v>
      </c>
      <c r="C40" s="2" t="s">
        <v>339</v>
      </c>
      <c r="D40" s="3" t="s">
        <v>340</v>
      </c>
      <c r="E40" s="3"/>
    </row>
    <row r="41" spans="2:5">
      <c r="B41" s="4" t="s">
        <v>245</v>
      </c>
      <c r="C41" s="8" t="s">
        <v>341</v>
      </c>
      <c r="D41" s="5" t="s">
        <v>342</v>
      </c>
      <c r="E41" s="5" t="s">
        <v>263</v>
      </c>
    </row>
    <row r="42" spans="2:5">
      <c r="B42" s="2" t="s">
        <v>245</v>
      </c>
      <c r="C42" s="2" t="s">
        <v>343</v>
      </c>
      <c r="D42" s="3" t="s">
        <v>344</v>
      </c>
      <c r="E42" s="3"/>
    </row>
    <row r="43" spans="2:5">
      <c r="B43" s="4" t="s">
        <v>245</v>
      </c>
      <c r="C43" s="8" t="s">
        <v>345</v>
      </c>
      <c r="D43" s="5" t="s">
        <v>346</v>
      </c>
      <c r="E43" s="5" t="s">
        <v>263</v>
      </c>
    </row>
    <row r="44" spans="2:5">
      <c r="B44" s="2" t="s">
        <v>245</v>
      </c>
      <c r="C44" s="8" t="s">
        <v>347</v>
      </c>
      <c r="D44" s="3" t="s">
        <v>348</v>
      </c>
      <c r="E44" s="3" t="s">
        <v>349</v>
      </c>
    </row>
    <row r="45" spans="2:5">
      <c r="B45" s="4" t="s">
        <v>245</v>
      </c>
      <c r="C45" s="4" t="s">
        <v>350</v>
      </c>
      <c r="D45" s="5" t="s">
        <v>351</v>
      </c>
      <c r="E45" s="5"/>
    </row>
    <row r="46" spans="2:5">
      <c r="B46" s="2" t="s">
        <v>245</v>
      </c>
      <c r="C46" s="2" t="s">
        <v>352</v>
      </c>
      <c r="D46" s="3" t="s">
        <v>353</v>
      </c>
      <c r="E46" s="3"/>
    </row>
    <row r="47" spans="2:5">
      <c r="B47" s="4" t="s">
        <v>245</v>
      </c>
      <c r="C47" s="8" t="s">
        <v>354</v>
      </c>
      <c r="D47" s="5"/>
      <c r="E47" s="5" t="s">
        <v>291</v>
      </c>
    </row>
    <row r="48" spans="2:5">
      <c r="B48" s="2" t="s">
        <v>245</v>
      </c>
      <c r="C48" s="8" t="s">
        <v>355</v>
      </c>
      <c r="D48" s="3" t="s">
        <v>356</v>
      </c>
      <c r="E48" s="3" t="s">
        <v>260</v>
      </c>
    </row>
    <row r="49" spans="2:5">
      <c r="B49" s="4" t="s">
        <v>245</v>
      </c>
      <c r="C49" s="8" t="s">
        <v>357</v>
      </c>
      <c r="D49" s="5"/>
      <c r="E49" s="5" t="s">
        <v>358</v>
      </c>
    </row>
    <row r="50" spans="2:5">
      <c r="B50" s="2" t="s">
        <v>245</v>
      </c>
      <c r="C50" s="2" t="s">
        <v>359</v>
      </c>
      <c r="D50" s="3" t="s">
        <v>307</v>
      </c>
      <c r="E50" s="3"/>
    </row>
    <row r="51" spans="2:5">
      <c r="B51" s="4" t="s">
        <v>245</v>
      </c>
      <c r="C51" s="4" t="s">
        <v>360</v>
      </c>
      <c r="D51" s="5" t="s">
        <v>361</v>
      </c>
      <c r="E51" s="5"/>
    </row>
    <row r="52" spans="2:5">
      <c r="B52" s="2" t="s">
        <v>245</v>
      </c>
      <c r="C52" s="2" t="s">
        <v>362</v>
      </c>
      <c r="D52" s="3" t="s">
        <v>363</v>
      </c>
      <c r="E52" s="3"/>
    </row>
    <row r="53" spans="2:5">
      <c r="B53" s="4" t="s">
        <v>245</v>
      </c>
      <c r="C53" s="4" t="s">
        <v>364</v>
      </c>
      <c r="D53" s="5" t="s">
        <v>365</v>
      </c>
      <c r="E53" s="5"/>
    </row>
    <row r="54" spans="2:5">
      <c r="B54" s="2" t="s">
        <v>245</v>
      </c>
      <c r="C54" s="2" t="s">
        <v>366</v>
      </c>
      <c r="D54" s="3" t="s">
        <v>367</v>
      </c>
      <c r="E54" s="3"/>
    </row>
    <row r="55" spans="2:5">
      <c r="B55" s="4" t="s">
        <v>245</v>
      </c>
      <c r="C55" s="4" t="s">
        <v>368</v>
      </c>
      <c r="D55" s="5" t="s">
        <v>369</v>
      </c>
      <c r="E55" s="5"/>
    </row>
    <row r="56" spans="2:5">
      <c r="B56" s="2" t="s">
        <v>245</v>
      </c>
      <c r="C56" s="2" t="s">
        <v>370</v>
      </c>
      <c r="D56" s="3" t="s">
        <v>371</v>
      </c>
      <c r="E56" s="3"/>
    </row>
    <row r="57" spans="2:5">
      <c r="B57" s="4" t="s">
        <v>245</v>
      </c>
      <c r="C57" s="4" t="s">
        <v>372</v>
      </c>
      <c r="D57" s="5" t="s">
        <v>373</v>
      </c>
      <c r="E57" s="5"/>
    </row>
    <row r="58" spans="2:5">
      <c r="B58" s="2" t="s">
        <v>245</v>
      </c>
      <c r="C58" s="6" t="s">
        <v>374</v>
      </c>
      <c r="D58" s="3" t="s">
        <v>295</v>
      </c>
      <c r="E58" s="3" t="s">
        <v>269</v>
      </c>
    </row>
    <row r="59" spans="2:5">
      <c r="B59" s="4" t="s">
        <v>245</v>
      </c>
      <c r="C59" s="4" t="s">
        <v>375</v>
      </c>
      <c r="D59" s="5" t="s">
        <v>376</v>
      </c>
      <c r="E59" s="5"/>
    </row>
    <row r="60" spans="2:5">
      <c r="B60" s="2" t="s">
        <v>245</v>
      </c>
      <c r="C60" s="2" t="s">
        <v>377</v>
      </c>
      <c r="D60" s="3" t="s">
        <v>378</v>
      </c>
      <c r="E60" s="3"/>
    </row>
    <row r="61" spans="2:5">
      <c r="B61" s="4" t="s">
        <v>245</v>
      </c>
      <c r="C61" s="4" t="s">
        <v>379</v>
      </c>
      <c r="D61" s="5" t="s">
        <v>380</v>
      </c>
      <c r="E61" s="5"/>
    </row>
    <row r="62" spans="2:5">
      <c r="B62" s="2" t="s">
        <v>245</v>
      </c>
      <c r="C62" s="2" t="s">
        <v>381</v>
      </c>
      <c r="D62" s="3" t="s">
        <v>382</v>
      </c>
      <c r="E62" s="3"/>
    </row>
    <row r="63" spans="2:5">
      <c r="B63" s="4" t="s">
        <v>245</v>
      </c>
      <c r="C63" s="8" t="s">
        <v>383</v>
      </c>
      <c r="D63" s="5" t="s">
        <v>384</v>
      </c>
      <c r="E63" s="5" t="s">
        <v>385</v>
      </c>
    </row>
    <row r="64" spans="2:5">
      <c r="B64" s="2" t="s">
        <v>245</v>
      </c>
      <c r="C64" s="8" t="s">
        <v>386</v>
      </c>
      <c r="D64" s="3" t="s">
        <v>387</v>
      </c>
      <c r="E64" s="3" t="s">
        <v>388</v>
      </c>
    </row>
    <row r="65" spans="2:5">
      <c r="B65" s="4" t="s">
        <v>245</v>
      </c>
      <c r="C65" s="8" t="s">
        <v>389</v>
      </c>
      <c r="D65" s="5" t="s">
        <v>390</v>
      </c>
      <c r="E65" s="5" t="s">
        <v>391</v>
      </c>
    </row>
    <row r="66" spans="2:5">
      <c r="B66" s="2" t="s">
        <v>245</v>
      </c>
      <c r="C66" s="2" t="s">
        <v>392</v>
      </c>
      <c r="D66" s="3"/>
      <c r="E66" s="3" t="s">
        <v>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1"/>
  <sheetViews>
    <sheetView workbookViewId="0"/>
  </sheetViews>
  <sheetFormatPr defaultColWidth="14.42578125" defaultRowHeight="15" customHeight="1"/>
  <cols>
    <col min="1" max="1" width="12.5703125" style="259" customWidth="1"/>
    <col min="2" max="2" width="38.42578125" style="259" customWidth="1"/>
    <col min="3" max="3" width="21.28515625" style="259" customWidth="1"/>
    <col min="4" max="4" width="45" style="259" customWidth="1"/>
    <col min="5" max="5" width="12" style="259" customWidth="1"/>
    <col min="6" max="6" width="12.5703125" style="259" customWidth="1"/>
    <col min="7" max="7" width="34.85546875" style="259" customWidth="1"/>
    <col min="8" max="8" width="14.42578125" style="14"/>
  </cols>
  <sheetData>
    <row r="1" spans="1:9">
      <c r="A1" s="11" t="s">
        <v>394</v>
      </c>
      <c r="B1" s="11" t="s">
        <v>395</v>
      </c>
      <c r="C1" s="11" t="s">
        <v>396</v>
      </c>
      <c r="D1" s="11" t="s">
        <v>397</v>
      </c>
      <c r="E1" s="11" t="s">
        <v>398</v>
      </c>
      <c r="F1" s="11" t="s">
        <v>399</v>
      </c>
      <c r="G1" s="11" t="s">
        <v>400</v>
      </c>
      <c r="H1" s="12" t="s">
        <v>401</v>
      </c>
      <c r="I1" s="11" t="s">
        <v>402</v>
      </c>
    </row>
    <row r="2" spans="1:9">
      <c r="A2" s="13" t="s">
        <v>403</v>
      </c>
      <c r="B2" s="13"/>
      <c r="C2" s="13"/>
      <c r="D2" s="13"/>
      <c r="E2" s="13"/>
      <c r="F2" s="13"/>
    </row>
    <row r="3" spans="1:9">
      <c r="A3" s="13" t="s">
        <v>403</v>
      </c>
      <c r="B3" s="13" t="s">
        <v>404</v>
      </c>
      <c r="H3" s="14">
        <v>45987</v>
      </c>
    </row>
    <row r="4" spans="1:9">
      <c r="A4" s="13" t="s">
        <v>403</v>
      </c>
      <c r="H4" s="14">
        <v>45987</v>
      </c>
    </row>
    <row r="5" spans="1:9">
      <c r="A5" s="13" t="s">
        <v>403</v>
      </c>
      <c r="H5" s="14">
        <v>45987</v>
      </c>
    </row>
    <row r="6" spans="1:9">
      <c r="A6" s="13" t="s">
        <v>403</v>
      </c>
      <c r="H6" s="14">
        <v>45987</v>
      </c>
    </row>
    <row r="7" spans="1:9">
      <c r="A7" s="13" t="s">
        <v>403</v>
      </c>
      <c r="H7" s="14">
        <v>45987</v>
      </c>
    </row>
    <row r="8" spans="1:9">
      <c r="A8" s="13" t="s">
        <v>403</v>
      </c>
      <c r="H8" s="14">
        <v>45987</v>
      </c>
    </row>
    <row r="9" spans="1:9">
      <c r="A9" s="13" t="s">
        <v>403</v>
      </c>
      <c r="H9" s="14">
        <v>45987</v>
      </c>
    </row>
    <row r="10" spans="1:9">
      <c r="A10" s="13" t="s">
        <v>403</v>
      </c>
      <c r="H10" s="14">
        <v>45987</v>
      </c>
    </row>
    <row r="11" spans="1:9">
      <c r="A11" s="13" t="s">
        <v>403</v>
      </c>
      <c r="H11" s="14">
        <v>45987</v>
      </c>
    </row>
    <row r="12" spans="1:9">
      <c r="A12" s="13" t="s">
        <v>403</v>
      </c>
      <c r="H12" s="14">
        <v>45987</v>
      </c>
    </row>
    <row r="13" spans="1:9">
      <c r="A13" s="13" t="s">
        <v>403</v>
      </c>
      <c r="H13" s="14">
        <v>45987</v>
      </c>
    </row>
    <row r="14" spans="1:9">
      <c r="A14" s="13" t="s">
        <v>403</v>
      </c>
      <c r="H14" s="14">
        <v>45987</v>
      </c>
    </row>
    <row r="15" spans="1:9">
      <c r="A15" s="13" t="s">
        <v>403</v>
      </c>
      <c r="H15" s="14">
        <v>45987</v>
      </c>
    </row>
    <row r="16" spans="1:9">
      <c r="A16" s="13" t="s">
        <v>403</v>
      </c>
      <c r="H16" s="14">
        <v>45987</v>
      </c>
    </row>
    <row r="17" spans="1:8">
      <c r="A17" s="13" t="s">
        <v>403</v>
      </c>
      <c r="H17" s="14">
        <v>45987</v>
      </c>
    </row>
    <row r="18" spans="1:8">
      <c r="A18" s="13" t="s">
        <v>403</v>
      </c>
      <c r="H18" s="14">
        <v>45987</v>
      </c>
    </row>
    <row r="19" spans="1:8">
      <c r="A19" s="13" t="s">
        <v>403</v>
      </c>
      <c r="H19" s="14">
        <v>45987</v>
      </c>
    </row>
    <row r="20" spans="1:8">
      <c r="A20" s="13" t="s">
        <v>403</v>
      </c>
      <c r="H20" s="14">
        <v>45987</v>
      </c>
    </row>
    <row r="21" spans="1:8">
      <c r="A21" s="13" t="s">
        <v>403</v>
      </c>
      <c r="H21" s="14">
        <v>45987</v>
      </c>
    </row>
    <row r="22" spans="1:8"/>
    <row r="23" spans="1:8"/>
    <row r="24" spans="1:8"/>
    <row r="25" spans="1:8"/>
    <row r="26" spans="1:8"/>
    <row r="27" spans="1:8"/>
    <row r="28" spans="1:8"/>
    <row r="29" spans="1:8"/>
    <row r="30" spans="1:8"/>
    <row r="31" spans="1:8"/>
    <row r="32" spans="1:8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autoFilter ref="A1:Z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7" activePane="bottomLeft" state="frozen"/>
      <selection pane="bottomLeft" activeCell="H31" sqref="H31"/>
    </sheetView>
  </sheetViews>
  <sheetFormatPr defaultColWidth="14.42578125" defaultRowHeight="15" customHeight="1"/>
  <cols>
    <col min="1" max="1" width="56.42578125" style="259" customWidth="1"/>
    <col min="2" max="2" width="28.7109375" style="259" customWidth="1"/>
    <col min="3" max="3" width="14.7109375" style="16" customWidth="1"/>
    <col min="4" max="4" width="36.5703125" style="16" customWidth="1"/>
    <col min="5" max="5" width="27" style="16" customWidth="1"/>
    <col min="6" max="26" width="8.7109375" style="259" customWidth="1"/>
  </cols>
  <sheetData>
    <row r="1" spans="1:5" ht="14.25" customHeight="1">
      <c r="B1" s="15" t="s">
        <v>405</v>
      </c>
      <c r="C1" s="15" t="s">
        <v>406</v>
      </c>
      <c r="D1" s="15" t="s">
        <v>407</v>
      </c>
      <c r="E1" s="15" t="s">
        <v>408</v>
      </c>
    </row>
    <row r="2" spans="1:5" ht="14.25" customHeight="1">
      <c r="A2" s="13" t="str">
        <f>C2&amp;D2&amp;E2</f>
        <v>EBANKINGCOL_UDF_VALUE@PGDBCOL_REF</v>
      </c>
      <c r="B2" s="13" t="s">
        <v>190</v>
      </c>
      <c r="C2" s="258" t="s">
        <v>409</v>
      </c>
      <c r="D2" s="16" t="s">
        <v>410</v>
      </c>
      <c r="E2" s="258" t="s">
        <v>411</v>
      </c>
    </row>
    <row r="3" spans="1:5" ht="14.25" customHeight="1">
      <c r="A3" s="13" t="str">
        <f>C3&amp;D3&amp;E3</f>
        <v>EBANKINGCOL_UDF_VALUE@PGDBFUNCTION_CODE</v>
      </c>
      <c r="B3" s="13" t="s">
        <v>190</v>
      </c>
      <c r="C3" s="258" t="s">
        <v>409</v>
      </c>
      <c r="D3" s="16" t="s">
        <v>410</v>
      </c>
      <c r="E3" s="258" t="s">
        <v>412</v>
      </c>
    </row>
    <row r="4" spans="1:5" ht="14.25" customHeight="1">
      <c r="A4" s="13" t="str">
        <f>C4&amp;D4&amp;E4</f>
        <v>EBANKINGCOL_UDF_VALUE@PGDBUDF_VALUE</v>
      </c>
      <c r="B4" s="13" t="s">
        <v>190</v>
      </c>
      <c r="C4" s="258" t="s">
        <v>409</v>
      </c>
      <c r="D4" s="16" t="s">
        <v>410</v>
      </c>
      <c r="E4" s="258" t="s">
        <v>413</v>
      </c>
    </row>
    <row r="5" spans="1:5" ht="14.25" customHeight="1">
      <c r="A5" s="13" t="str">
        <f>C5&amp;D5&amp;E5</f>
        <v>FLEXBOPGB_CONTRACT_UDF_MAPCONTRACT_REF_NO</v>
      </c>
      <c r="B5" s="13" t="s">
        <v>190</v>
      </c>
      <c r="C5" s="258" t="s">
        <v>414</v>
      </c>
      <c r="D5" s="16" t="s">
        <v>415</v>
      </c>
      <c r="E5" s="258" t="s">
        <v>416</v>
      </c>
    </row>
    <row r="6" spans="1:5" ht="14.25" customHeight="1">
      <c r="A6" s="13" t="str">
        <f>C6&amp;D6&amp;E6</f>
        <v>FLEXBOPGB_CONTRACT_UDF_MAPFIELD_NAME</v>
      </c>
      <c r="B6" s="13" t="s">
        <v>190</v>
      </c>
      <c r="C6" s="258" t="s">
        <v>414</v>
      </c>
      <c r="D6" s="16" t="s">
        <v>415</v>
      </c>
      <c r="E6" s="258" t="s">
        <v>417</v>
      </c>
    </row>
    <row r="7" spans="1:5" ht="14.25" customHeight="1">
      <c r="A7" s="13" t="str">
        <f>C7&amp;D7&amp;E7</f>
        <v>FLEXBOPGB_CONTRACT_UDF_MAPFIELD_VAL</v>
      </c>
      <c r="B7" s="13" t="s">
        <v>190</v>
      </c>
      <c r="C7" s="258" t="s">
        <v>414</v>
      </c>
      <c r="D7" s="16" t="s">
        <v>415</v>
      </c>
      <c r="E7" s="258" t="s">
        <v>418</v>
      </c>
    </row>
    <row r="8" spans="1:5" ht="14.25" customHeight="1">
      <c r="A8" s="13" t="str">
        <f>C8&amp;D8&amp;E8</f>
        <v>FLEXBOPGB_LDTB_CONTRACT_MASTERBOOKING_DATE</v>
      </c>
      <c r="B8" s="13" t="s">
        <v>190</v>
      </c>
      <c r="C8" s="258" t="s">
        <v>414</v>
      </c>
      <c r="D8" s="16" t="s">
        <v>419</v>
      </c>
      <c r="E8" s="258" t="s">
        <v>420</v>
      </c>
    </row>
    <row r="9" spans="1:5" ht="14.25" customHeight="1">
      <c r="A9" s="13" t="str">
        <f>C9&amp;D9&amp;E9</f>
        <v>FLEXBOPGB_LDTB_CONTRACT_MASTERCONTRACT_REF_NO</v>
      </c>
      <c r="B9" s="13" t="s">
        <v>190</v>
      </c>
      <c r="C9" s="258" t="s">
        <v>414</v>
      </c>
      <c r="D9" s="16" t="s">
        <v>419</v>
      </c>
      <c r="E9" s="258" t="s">
        <v>416</v>
      </c>
    </row>
    <row r="10" spans="1:5" ht="14.25" customHeight="1">
      <c r="A10" s="13" t="str">
        <f>C10&amp;D10&amp;E10</f>
        <v>FLEXBOPGB_LDTB_CONTRACT_MASTERVERSION_NO</v>
      </c>
      <c r="B10" s="13" t="s">
        <v>190</v>
      </c>
      <c r="C10" s="258" t="s">
        <v>414</v>
      </c>
      <c r="D10" s="16" t="s">
        <v>419</v>
      </c>
      <c r="E10" s="258" t="s">
        <v>421</v>
      </c>
    </row>
    <row r="11" spans="1:5" ht="14.25" customHeight="1">
      <c r="A11" s="13" t="str">
        <f>C11&amp;D11&amp;E11</f>
        <v>FLEXBOPGB_LOS_CONTRACT_FIELDS_TDATECAN_BO_DE_XUAT_GN</v>
      </c>
      <c r="B11" s="13" t="s">
        <v>171</v>
      </c>
      <c r="C11" s="16" t="s">
        <v>414</v>
      </c>
      <c r="D11" s="16" t="s">
        <v>422</v>
      </c>
      <c r="E11" s="258" t="s">
        <v>423</v>
      </c>
    </row>
    <row r="12" spans="1:5" ht="14.25" customHeight="1">
      <c r="A12" s="13" t="str">
        <f>C12&amp;D12&amp;E12</f>
        <v>FLEXBOPGB_LOS_CONTRACT_FIELDS_TDATECAR_APPLICATION_CODE</v>
      </c>
      <c r="B12" s="13" t="s">
        <v>171</v>
      </c>
      <c r="C12" s="16" t="s">
        <v>414</v>
      </c>
      <c r="D12" s="16" t="s">
        <v>422</v>
      </c>
      <c r="E12" s="258" t="s">
        <v>424</v>
      </c>
    </row>
    <row r="13" spans="1:5" ht="14.25" customHeight="1">
      <c r="A13" s="13" t="str">
        <f>C13&amp;D13&amp;E13</f>
        <v>FLEXBOPGB_LOS_CONTRACT_FIELDS_TDATECONTRACT_REF_NO</v>
      </c>
      <c r="B13" s="13" t="s">
        <v>171</v>
      </c>
      <c r="C13" s="16" t="s">
        <v>414</v>
      </c>
      <c r="D13" s="16" t="s">
        <v>422</v>
      </c>
      <c r="E13" s="258" t="s">
        <v>416</v>
      </c>
    </row>
    <row r="14" spans="1:5" ht="14.25" customHeight="1">
      <c r="A14" s="13" t="str">
        <f>C14&amp;D14&amp;E14</f>
        <v>FLEXBOPGB_LOS_CONTRACT_FIELDS_TDATELOS_CONTRACT_CODE</v>
      </c>
      <c r="B14" s="13" t="s">
        <v>171</v>
      </c>
      <c r="C14" s="16" t="s">
        <v>414</v>
      </c>
      <c r="D14" s="16" t="s">
        <v>422</v>
      </c>
      <c r="E14" s="258" t="s">
        <v>425</v>
      </c>
    </row>
    <row r="15" spans="1:5" ht="14.25" customHeight="1">
      <c r="A15" s="13" t="str">
        <f>C15&amp;D15&amp;E15</f>
        <v>FLEXBOPGB_LOS_CONTRACT_FIELDS_TDATEMDVAY_NKT</v>
      </c>
      <c r="B15" s="13" t="s">
        <v>171</v>
      </c>
      <c r="C15" s="16" t="s">
        <v>414</v>
      </c>
      <c r="D15" s="16" t="s">
        <v>422</v>
      </c>
      <c r="E15" s="258" t="s">
        <v>426</v>
      </c>
    </row>
    <row r="16" spans="1:5" ht="14.25" customHeight="1">
      <c r="A16" s="13" t="str">
        <f>C16&amp;D16&amp;E16</f>
        <v>FLEXBOPGB_LOS_CONTRACT_FIELDS_TDATEMDVAY_SP</v>
      </c>
      <c r="B16" s="13" t="s">
        <v>171</v>
      </c>
      <c r="C16" s="17" t="s">
        <v>414</v>
      </c>
      <c r="D16" s="17" t="s">
        <v>422</v>
      </c>
      <c r="E16" s="258" t="s">
        <v>427</v>
      </c>
    </row>
    <row r="17" spans="1:5" ht="14.25" customHeight="1">
      <c r="A17" s="13" t="str">
        <f>C17&amp;D17&amp;E17</f>
        <v>FLEXBOPGB_LOS_CONTRACT_FIELDS_TDATEMOV_DATE</v>
      </c>
      <c r="B17" s="13" t="s">
        <v>171</v>
      </c>
      <c r="C17" s="16" t="s">
        <v>414</v>
      </c>
      <c r="D17" s="16" t="s">
        <v>422</v>
      </c>
      <c r="E17" s="258" t="s">
        <v>428</v>
      </c>
    </row>
    <row r="18" spans="1:5" ht="14.25" customHeight="1">
      <c r="A18" s="13" t="str">
        <f>C18&amp;D18&amp;E18</f>
        <v>FLEXBOPGB_LOS_CONTRACT_FIELDS_TDATETT_PP_DE_XUAT_GN</v>
      </c>
      <c r="B18" s="13" t="s">
        <v>171</v>
      </c>
      <c r="C18" s="16" t="s">
        <v>414</v>
      </c>
      <c r="D18" s="16" t="s">
        <v>422</v>
      </c>
      <c r="E18" s="258" t="s">
        <v>429</v>
      </c>
    </row>
    <row r="19" spans="1:5" ht="14.25" customHeight="1">
      <c r="A19" s="13" t="str">
        <f>C19&amp;D19&amp;E19</f>
        <v>FLEXBOPGBLD_CONTRACT_UDFIELD_HISTCONTRACT_REF_NO</v>
      </c>
      <c r="B19" s="13" t="s">
        <v>190</v>
      </c>
      <c r="C19" s="258" t="s">
        <v>414</v>
      </c>
      <c r="D19" s="16" t="s">
        <v>430</v>
      </c>
      <c r="E19" s="258" t="s">
        <v>416</v>
      </c>
    </row>
    <row r="20" spans="1:5" ht="14.25" customHeight="1">
      <c r="A20" s="13" t="str">
        <f>C20&amp;D20&amp;E20</f>
        <v>FLEXBOPGBLD_CONTRACT_UDFIELD_HISTCT_KHUYEN_MAI_CHO_VAY</v>
      </c>
      <c r="B20" s="13" t="s">
        <v>190</v>
      </c>
      <c r="C20" s="258" t="s">
        <v>414</v>
      </c>
      <c r="D20" s="16" t="s">
        <v>430</v>
      </c>
      <c r="E20" s="258" t="s">
        <v>431</v>
      </c>
    </row>
    <row r="21" spans="1:5" ht="14.25" customHeight="1">
      <c r="A21" s="13" t="str">
        <f>C21&amp;D21&amp;E21</f>
        <v>FLEXBOPGBLD_CONTRACT_UDFIELD_HISTCTKM2</v>
      </c>
      <c r="B21" s="13" t="s">
        <v>190</v>
      </c>
      <c r="C21" s="258" t="s">
        <v>414</v>
      </c>
      <c r="D21" s="16" t="s">
        <v>430</v>
      </c>
      <c r="E21" s="258" t="s">
        <v>432</v>
      </c>
    </row>
    <row r="22" spans="1:5" ht="14.25" customHeight="1">
      <c r="A22" s="13" t="str">
        <f>C22&amp;D22&amp;E22</f>
        <v>FLEXBOPGBLD_CONTRACT_UDFIELD_HISTMOV_DATE</v>
      </c>
      <c r="B22" s="13" t="s">
        <v>190</v>
      </c>
      <c r="C22" s="258" t="s">
        <v>414</v>
      </c>
      <c r="D22" s="16" t="s">
        <v>430</v>
      </c>
      <c r="E22" s="258" t="s">
        <v>428</v>
      </c>
    </row>
    <row r="23" spans="1:5" ht="14.25" customHeight="1">
      <c r="A23" s="13" t="str">
        <f>C23&amp;D23&amp;E23</f>
        <v>FLEXBOPGBLD_RT_CONTRACT_UDFIELD_HISTCO_CAU_NO</v>
      </c>
      <c r="B23" s="13" t="s">
        <v>190</v>
      </c>
      <c r="C23" s="258" t="s">
        <v>414</v>
      </c>
      <c r="D23" s="16" t="s">
        <v>433</v>
      </c>
      <c r="E23" s="258" t="s">
        <v>434</v>
      </c>
    </row>
    <row r="24" spans="1:5" ht="14.25" customHeight="1">
      <c r="A24" s="13" t="str">
        <f>C24&amp;D24&amp;E24</f>
        <v>FLEXBOPGBLD_RT_CONTRACT_UDFIELD_HISTCONTRACT_REF_NO</v>
      </c>
      <c r="B24" s="13" t="s">
        <v>190</v>
      </c>
      <c r="C24" s="258" t="s">
        <v>414</v>
      </c>
      <c r="D24" s="16" t="s">
        <v>433</v>
      </c>
      <c r="E24" s="258" t="s">
        <v>416</v>
      </c>
    </row>
    <row r="25" spans="1:5" ht="14.25" customHeight="1">
      <c r="A25" s="13" t="str">
        <f>C25&amp;D25&amp;E25</f>
        <v>FLEXBOPGBLD_RT_CONTRACT_UDFIELD_HISTNGAY_HET_COVID19</v>
      </c>
      <c r="B25" s="13" t="s">
        <v>190</v>
      </c>
      <c r="C25" s="258" t="s">
        <v>414</v>
      </c>
      <c r="D25" s="16" t="s">
        <v>433</v>
      </c>
      <c r="E25" s="258" t="s">
        <v>435</v>
      </c>
    </row>
    <row r="26" spans="1:5" ht="14.25" customHeight="1">
      <c r="A26" s="13" t="str">
        <f>C26&amp;D26&amp;E26</f>
        <v>LEXBOPGB_LOS_CONTRACT_FIELDS_TDATECONTRACT_REF_NO</v>
      </c>
      <c r="B26" s="13" t="s">
        <v>190</v>
      </c>
      <c r="C26" s="258" t="s">
        <v>436</v>
      </c>
      <c r="D26" s="16" t="s">
        <v>422</v>
      </c>
      <c r="E26" s="258" t="s">
        <v>416</v>
      </c>
    </row>
    <row r="27" spans="1:5" ht="14.25" customHeight="1">
      <c r="A27" s="13" t="str">
        <f>C27&amp;D27&amp;E27</f>
        <v>LEXBOPGB_LOS_CONTRACT_FIELDS_TDATEMDVAY_NKT</v>
      </c>
      <c r="B27" s="13" t="s">
        <v>190</v>
      </c>
      <c r="C27" s="258" t="s">
        <v>436</v>
      </c>
      <c r="D27" s="16" t="s">
        <v>422</v>
      </c>
      <c r="E27" s="258" t="s">
        <v>426</v>
      </c>
    </row>
    <row r="28" spans="1:5" ht="14.25" customHeight="1">
      <c r="A28" s="13" t="str">
        <f>C28&amp;D28&amp;E28</f>
        <v>LEXBOPGB_LOS_CONTRACT_FIELDS_TDATEMOV_DATE</v>
      </c>
      <c r="B28" s="13" t="s">
        <v>190</v>
      </c>
      <c r="C28" s="258" t="s">
        <v>436</v>
      </c>
      <c r="D28" s="16" t="s">
        <v>422</v>
      </c>
      <c r="E28" s="258" t="s">
        <v>428</v>
      </c>
    </row>
    <row r="29" spans="1:5" ht="14.25" customHeight="1">
      <c r="A29" s="13" t="str">
        <f>C29&amp;D29&amp;E29</f>
        <v>LOS_APPFACILITY@TO_LOSID</v>
      </c>
      <c r="B29" s="13" t="s">
        <v>171</v>
      </c>
      <c r="C29" s="17" t="s">
        <v>437</v>
      </c>
      <c r="D29" s="17" t="s">
        <v>438</v>
      </c>
      <c r="E29" s="258" t="s">
        <v>439</v>
      </c>
    </row>
    <row r="30" spans="1:5" ht="14.25" customHeight="1">
      <c r="A30" s="13" t="str">
        <f>C30&amp;D30&amp;E30</f>
        <v>LOS_APPFACILITY@TO_LOSPRODUCT_ID</v>
      </c>
      <c r="B30" s="13" t="s">
        <v>171</v>
      </c>
      <c r="C30" s="16" t="s">
        <v>437</v>
      </c>
      <c r="D30" s="16" t="s">
        <v>438</v>
      </c>
      <c r="E30" s="258" t="s">
        <v>440</v>
      </c>
    </row>
    <row r="31" spans="1:5" ht="14.25" customHeight="1">
      <c r="A31" s="13" t="str">
        <f>C31&amp;D31&amp;E31</f>
        <v>LOS_APPLOAN_DISBURSEMENT@TO_LOSAMND_STATE</v>
      </c>
      <c r="B31" s="13" t="s">
        <v>171</v>
      </c>
      <c r="C31" s="16" t="s">
        <v>437</v>
      </c>
      <c r="D31" s="16" t="s">
        <v>441</v>
      </c>
      <c r="E31" s="258" t="s">
        <v>442</v>
      </c>
    </row>
    <row r="32" spans="1:5" ht="14.25" customHeight="1">
      <c r="A32" s="13" t="str">
        <f>C32&amp;D32&amp;E32</f>
        <v>LOS_APPLOAN_DISBURSEMENT@TO_LOSBOOKING_DATE</v>
      </c>
      <c r="B32" s="13" t="s">
        <v>171</v>
      </c>
      <c r="C32" s="16" t="s">
        <v>437</v>
      </c>
      <c r="D32" s="16" t="s">
        <v>441</v>
      </c>
      <c r="E32" s="258" t="s">
        <v>420</v>
      </c>
    </row>
    <row r="33" spans="1:5" ht="14.25" customHeight="1">
      <c r="A33" s="13" t="str">
        <f>C33&amp;D33&amp;E33</f>
        <v>LOS_APPLOAN_DISBURSEMENT@TO_LOSEXT_REF_NO_1</v>
      </c>
      <c r="B33" s="13" t="s">
        <v>171</v>
      </c>
      <c r="C33" s="17" t="s">
        <v>437</v>
      </c>
      <c r="D33" s="17" t="s">
        <v>441</v>
      </c>
      <c r="E33" s="258" t="s">
        <v>443</v>
      </c>
    </row>
    <row r="34" spans="1:5" ht="14.25" customHeight="1">
      <c r="A34" s="13" t="str">
        <f>C34&amp;D34&amp;E34</f>
        <v>LOS_APPLOAN_DISBURSEMENT@TO_LOSFACILITY_ID</v>
      </c>
      <c r="B34" s="13" t="s">
        <v>171</v>
      </c>
      <c r="C34" s="16" t="s">
        <v>437</v>
      </c>
      <c r="D34" s="16" t="s">
        <v>441</v>
      </c>
      <c r="E34" s="258" t="s">
        <v>444</v>
      </c>
    </row>
    <row r="35" spans="1:5" ht="14.25" customHeight="1">
      <c r="A35" s="13" t="str">
        <f>C35&amp;D35&amp;E35</f>
        <v>LOS_APPLOAN_DISBURSEMENT@TO_LOSSTATUS</v>
      </c>
      <c r="B35" s="13" t="s">
        <v>171</v>
      </c>
      <c r="C35" s="16" t="s">
        <v>437</v>
      </c>
      <c r="D35" s="16" t="s">
        <v>441</v>
      </c>
      <c r="E35" s="258" t="s">
        <v>398</v>
      </c>
    </row>
    <row r="36" spans="1:5" ht="14.25" customHeight="1">
      <c r="A36" s="13" t="str">
        <f>C36&amp;D36&amp;E36</f>
        <v>LOS_APPPRODUCT@TO_LOSID</v>
      </c>
      <c r="B36" s="13" t="s">
        <v>171</v>
      </c>
      <c r="C36" s="17" t="s">
        <v>437</v>
      </c>
      <c r="D36" s="17" t="s">
        <v>445</v>
      </c>
      <c r="E36" s="258" t="s">
        <v>439</v>
      </c>
    </row>
    <row r="37" spans="1:5" ht="14.25" customHeight="1">
      <c r="A37" s="13" t="str">
        <f>C37&amp;D37&amp;E37</f>
        <v>LOS_APPPRODUCT@TO_LOSPRODUCT_CODE</v>
      </c>
      <c r="B37" s="13" t="s">
        <v>171</v>
      </c>
      <c r="C37" s="16" t="s">
        <v>437</v>
      </c>
      <c r="D37" s="16" t="s">
        <v>445</v>
      </c>
      <c r="E37" s="258" t="s">
        <v>446</v>
      </c>
    </row>
    <row r="38" spans="1:5" ht="14.25" customHeight="1">
      <c r="A38" s="13" t="str">
        <f>C38&amp;D38&amp;E38</f>
        <v>LOS_APPPRODUCT@TO_LOSPRODUCT_NAME</v>
      </c>
      <c r="B38" s="13" t="s">
        <v>171</v>
      </c>
      <c r="C38" s="16" t="s">
        <v>437</v>
      </c>
      <c r="D38" s="16" t="s">
        <v>445</v>
      </c>
      <c r="E38" s="258" t="s">
        <v>447</v>
      </c>
    </row>
    <row r="39" spans="1:5" ht="14.25" customHeight="1">
      <c r="A39" s="13" t="str">
        <f>C39&amp;D39&amp;E39</f>
        <v>SMYSTMT_DAILYACCOUNT</v>
      </c>
      <c r="B39" s="13" t="s">
        <v>166</v>
      </c>
      <c r="C39" s="258" t="s">
        <v>448</v>
      </c>
      <c r="D39" s="16" t="s">
        <v>449</v>
      </c>
      <c r="E39" s="258" t="s">
        <v>450</v>
      </c>
    </row>
    <row r="40" spans="1:5" ht="14.25" customHeight="1">
      <c r="A40" s="13" t="str">
        <f>C40&amp;D40&amp;E40</f>
        <v>SMYSTMT_DAILYACCOUNT_ID</v>
      </c>
      <c r="B40" s="13" t="s">
        <v>166</v>
      </c>
      <c r="C40" s="258" t="s">
        <v>448</v>
      </c>
      <c r="D40" s="16" t="s">
        <v>449</v>
      </c>
      <c r="E40" s="258" t="s">
        <v>451</v>
      </c>
    </row>
    <row r="41" spans="1:5" ht="14.25" customHeight="1">
      <c r="A41" s="13" t="str">
        <f>C41&amp;D41&amp;E41</f>
        <v>SMYSTMT_DAILYACCOUNT_NUM</v>
      </c>
      <c r="B41" s="13" t="s">
        <v>166</v>
      </c>
      <c r="C41" s="258" t="s">
        <v>448</v>
      </c>
      <c r="D41" s="16" t="s">
        <v>449</v>
      </c>
      <c r="E41" s="258" t="s">
        <v>452</v>
      </c>
    </row>
    <row r="42" spans="1:5" ht="14.25" customHeight="1">
      <c r="A42" s="13" t="str">
        <f>C42&amp;D42&amp;E42</f>
        <v>SMYSTMT_DAILYACCOUNT_NUMBER</v>
      </c>
      <c r="B42" s="13" t="s">
        <v>166</v>
      </c>
      <c r="C42" s="258" t="s">
        <v>448</v>
      </c>
      <c r="D42" s="16" t="s">
        <v>449</v>
      </c>
      <c r="E42" s="258" t="s">
        <v>453</v>
      </c>
    </row>
    <row r="43" spans="1:5" ht="14.25" customHeight="1">
      <c r="A43" s="13" t="str">
        <f>C43&amp;D43&amp;E43</f>
        <v>SMYSTMT_DAILYACCOUNTING_DATE</v>
      </c>
      <c r="B43" s="13" t="s">
        <v>166</v>
      </c>
      <c r="C43" s="258" t="s">
        <v>448</v>
      </c>
      <c r="D43" s="16" t="s">
        <v>449</v>
      </c>
      <c r="E43" s="258" t="s">
        <v>454</v>
      </c>
    </row>
    <row r="44" spans="1:5" ht="14.25" customHeight="1">
      <c r="A44" s="13" t="str">
        <f>C44&amp;D44&amp;E44</f>
        <v>SMYSTMT_DAILYACCT_ID</v>
      </c>
      <c r="B44" s="13" t="s">
        <v>166</v>
      </c>
      <c r="C44" s="258" t="s">
        <v>448</v>
      </c>
      <c r="D44" s="16" t="s">
        <v>449</v>
      </c>
      <c r="E44" s="258" t="s">
        <v>455</v>
      </c>
    </row>
    <row r="45" spans="1:5" ht="14.25" customHeight="1">
      <c r="A45" s="13" t="str">
        <f>C45&amp;D45&amp;E45</f>
        <v>SMYSTMT_DAILYAMOUNT_FCY</v>
      </c>
      <c r="B45" s="13" t="s">
        <v>166</v>
      </c>
      <c r="C45" s="258" t="s">
        <v>448</v>
      </c>
      <c r="D45" s="16" t="s">
        <v>449</v>
      </c>
      <c r="E45" s="258" t="s">
        <v>456</v>
      </c>
    </row>
    <row r="46" spans="1:5" ht="14.25" customHeight="1">
      <c r="A46" s="13" t="str">
        <f>C46&amp;D46&amp;E46</f>
        <v>SMYSTMT_DAILYAMOUNT_LCY</v>
      </c>
      <c r="B46" s="13" t="s">
        <v>166</v>
      </c>
      <c r="C46" s="258" t="s">
        <v>448</v>
      </c>
      <c r="D46" s="16" t="s">
        <v>449</v>
      </c>
      <c r="E46" s="258" t="s">
        <v>457</v>
      </c>
    </row>
    <row r="47" spans="1:5" ht="14.25" customHeight="1">
      <c r="A47" s="13" t="str">
        <f>C47&amp;D47&amp;E47</f>
        <v>SMYSTMT_DAILYBALANCE_TYPE</v>
      </c>
      <c r="B47" s="13" t="s">
        <v>166</v>
      </c>
      <c r="C47" s="258" t="s">
        <v>448</v>
      </c>
      <c r="D47" s="16" t="s">
        <v>449</v>
      </c>
      <c r="E47" s="258" t="s">
        <v>458</v>
      </c>
    </row>
    <row r="48" spans="1:5" ht="14.25" customHeight="1">
      <c r="A48" s="13" t="str">
        <f>C48&amp;D48&amp;E48</f>
        <v>SMYSTMT_DAILYBOOKING_DATE</v>
      </c>
      <c r="B48" s="13" t="s">
        <v>166</v>
      </c>
      <c r="C48" s="258" t="s">
        <v>448</v>
      </c>
      <c r="D48" s="16" t="s">
        <v>449</v>
      </c>
      <c r="E48" s="258" t="s">
        <v>420</v>
      </c>
    </row>
    <row r="49" spans="1:5" ht="14.25" customHeight="1">
      <c r="A49" s="13" t="str">
        <f>C49&amp;D49&amp;E49</f>
        <v>SMYSTMT_DAILYCARD_NUMBER</v>
      </c>
      <c r="B49" s="13" t="s">
        <v>166</v>
      </c>
      <c r="C49" s="258" t="s">
        <v>448</v>
      </c>
      <c r="D49" s="16" t="s">
        <v>449</v>
      </c>
      <c r="E49" s="258" t="s">
        <v>459</v>
      </c>
    </row>
    <row r="50" spans="1:5" ht="14.25" customHeight="1">
      <c r="A50" s="13" t="str">
        <f>C50&amp;D50&amp;E50</f>
        <v>SMYSTMT_DAILYCO_CODE</v>
      </c>
      <c r="B50" s="13" t="s">
        <v>166</v>
      </c>
      <c r="C50" s="258" t="s">
        <v>448</v>
      </c>
      <c r="D50" s="16" t="s">
        <v>449</v>
      </c>
      <c r="E50" s="258" t="s">
        <v>460</v>
      </c>
    </row>
    <row r="51" spans="1:5" ht="14.25" customHeight="1">
      <c r="A51" s="13" t="str">
        <f>C51&amp;D51&amp;E51</f>
        <v>SMYSTMT_DAILYCOMMIT_ACTION</v>
      </c>
      <c r="B51" s="13" t="s">
        <v>166</v>
      </c>
      <c r="C51" s="258" t="s">
        <v>448</v>
      </c>
      <c r="D51" s="16" t="s">
        <v>449</v>
      </c>
      <c r="E51" s="258" t="s">
        <v>461</v>
      </c>
    </row>
    <row r="52" spans="1:5" ht="14.25" customHeight="1">
      <c r="A52" s="13" t="str">
        <f>C52&amp;D52&amp;E52</f>
        <v>SMYSTMT_DAILYCOMMIT_TS</v>
      </c>
      <c r="B52" s="13" t="s">
        <v>166</v>
      </c>
      <c r="C52" s="258" t="s">
        <v>448</v>
      </c>
      <c r="D52" s="16" t="s">
        <v>449</v>
      </c>
      <c r="E52" s="258" t="s">
        <v>462</v>
      </c>
    </row>
    <row r="53" spans="1:5" ht="14.25" customHeight="1">
      <c r="A53" s="13" t="str">
        <f>C53&amp;D53&amp;E53</f>
        <v>SMYSTMT_DAILYCOMPANY_CODE</v>
      </c>
      <c r="B53" s="13" t="s">
        <v>166</v>
      </c>
      <c r="C53" s="258" t="s">
        <v>448</v>
      </c>
      <c r="D53" s="16" t="s">
        <v>449</v>
      </c>
      <c r="E53" s="258" t="s">
        <v>463</v>
      </c>
    </row>
    <row r="54" spans="1:5" ht="14.25" customHeight="1">
      <c r="A54" s="13" t="str">
        <f>C54&amp;D54&amp;E54</f>
        <v>SMYSTMT_DAILYCONSOL_KEY</v>
      </c>
      <c r="B54" s="13" t="s">
        <v>166</v>
      </c>
      <c r="C54" s="258" t="s">
        <v>448</v>
      </c>
      <c r="D54" s="16" t="s">
        <v>449</v>
      </c>
      <c r="E54" s="258" t="s">
        <v>464</v>
      </c>
    </row>
    <row r="55" spans="1:5" ht="14.25" customHeight="1">
      <c r="A55" s="13" t="str">
        <f>C55&amp;D55&amp;E55</f>
        <v>SMYSTMT_DAILYCONTRACT_BAL_ID</v>
      </c>
      <c r="B55" s="13" t="s">
        <v>166</v>
      </c>
      <c r="C55" s="258" t="s">
        <v>448</v>
      </c>
      <c r="D55" s="16" t="s">
        <v>449</v>
      </c>
      <c r="E55" s="258" t="s">
        <v>465</v>
      </c>
    </row>
    <row r="56" spans="1:5" ht="14.25" customHeight="1">
      <c r="A56" s="13" t="str">
        <f>C56&amp;D56&amp;E56</f>
        <v>SMYSTMT_DAILYCRF_PROD_CAT</v>
      </c>
      <c r="B56" s="13" t="s">
        <v>166</v>
      </c>
      <c r="C56" s="258" t="s">
        <v>448</v>
      </c>
      <c r="D56" s="16" t="s">
        <v>449</v>
      </c>
      <c r="E56" s="258" t="s">
        <v>466</v>
      </c>
    </row>
    <row r="57" spans="1:5" ht="14.25" customHeight="1">
      <c r="A57" s="13" t="str">
        <f>C57&amp;D57&amp;E57</f>
        <v>SMYSTMT_DAILYCRF_TYPE</v>
      </c>
      <c r="B57" s="13" t="s">
        <v>166</v>
      </c>
      <c r="C57" s="258" t="s">
        <v>448</v>
      </c>
      <c r="D57" s="16" t="s">
        <v>449</v>
      </c>
      <c r="E57" s="258" t="s">
        <v>467</v>
      </c>
    </row>
    <row r="58" spans="1:5" ht="14.25" customHeight="1">
      <c r="A58" s="13" t="str">
        <f>C58&amp;D58&amp;E58</f>
        <v>SMYSTMT_DAILYCURR_NO</v>
      </c>
      <c r="B58" s="13" t="s">
        <v>166</v>
      </c>
      <c r="C58" s="258" t="s">
        <v>448</v>
      </c>
      <c r="D58" s="16" t="s">
        <v>449</v>
      </c>
      <c r="E58" s="258" t="s">
        <v>468</v>
      </c>
    </row>
    <row r="59" spans="1:5" ht="14.25" customHeight="1">
      <c r="A59" s="13" t="str">
        <f>C59&amp;D59&amp;E59</f>
        <v>SMYSTMT_DAILYCURRENCY</v>
      </c>
      <c r="B59" s="13" t="s">
        <v>166</v>
      </c>
      <c r="C59" s="258" t="s">
        <v>448</v>
      </c>
      <c r="D59" s="16" t="s">
        <v>449</v>
      </c>
      <c r="E59" s="258" t="s">
        <v>469</v>
      </c>
    </row>
    <row r="60" spans="1:5" ht="14.25" customHeight="1">
      <c r="A60" s="13" t="str">
        <f>C60&amp;D60&amp;E60</f>
        <v>SMYSTMT_DAILYCUSTOMER_ID</v>
      </c>
      <c r="B60" s="13" t="s">
        <v>166</v>
      </c>
      <c r="C60" s="258" t="s">
        <v>448</v>
      </c>
      <c r="D60" s="16" t="s">
        <v>449</v>
      </c>
      <c r="E60" s="258" t="s">
        <v>470</v>
      </c>
    </row>
    <row r="61" spans="1:5" ht="14.25" customHeight="1">
      <c r="A61" s="13" t="str">
        <f>C61&amp;D61&amp;E61</f>
        <v>SMYSTMT_DAILYCYCLE_FORWARD</v>
      </c>
      <c r="B61" s="13" t="s">
        <v>166</v>
      </c>
      <c r="C61" s="258" t="s">
        <v>448</v>
      </c>
      <c r="D61" s="16" t="s">
        <v>449</v>
      </c>
      <c r="E61" s="258" t="s">
        <v>471</v>
      </c>
    </row>
    <row r="62" spans="1:5" ht="14.25" customHeight="1">
      <c r="A62" s="13" t="str">
        <f>C62&amp;D62&amp;E62</f>
        <v>SMYSTMT_DAILYDATE_TIME</v>
      </c>
      <c r="B62" s="13" t="s">
        <v>166</v>
      </c>
      <c r="C62" s="258" t="s">
        <v>448</v>
      </c>
      <c r="D62" s="16" t="s">
        <v>449</v>
      </c>
      <c r="E62" s="258" t="s">
        <v>472</v>
      </c>
    </row>
    <row r="63" spans="1:5" ht="14.25" customHeight="1">
      <c r="A63" s="13" t="str">
        <f>C63&amp;D63&amp;E63</f>
        <v>SMYSTMT_DAILYDEPARTMENT_CODE</v>
      </c>
      <c r="B63" s="13" t="s">
        <v>166</v>
      </c>
      <c r="C63" s="258" t="s">
        <v>448</v>
      </c>
      <c r="D63" s="16" t="s">
        <v>449</v>
      </c>
      <c r="E63" s="258" t="s">
        <v>473</v>
      </c>
    </row>
    <row r="64" spans="1:5" ht="14.25" customHeight="1">
      <c r="A64" s="13" t="str">
        <f>C64&amp;D64&amp;E64</f>
        <v>SMYSTMT_DAILYDRAWN_ACCOUNT</v>
      </c>
      <c r="B64" s="13" t="s">
        <v>166</v>
      </c>
      <c r="C64" s="258" t="s">
        <v>448</v>
      </c>
      <c r="D64" s="16" t="s">
        <v>449</v>
      </c>
      <c r="E64" s="258" t="s">
        <v>474</v>
      </c>
    </row>
    <row r="65" spans="1:5" ht="14.25" customHeight="1">
      <c r="A65" s="13" t="str">
        <f>C65&amp;D65&amp;E65</f>
        <v>SMYSTMT_DAILYEXCHANGE_RATE</v>
      </c>
      <c r="B65" s="13" t="s">
        <v>166</v>
      </c>
      <c r="C65" s="258" t="s">
        <v>448</v>
      </c>
      <c r="D65" s="16" t="s">
        <v>449</v>
      </c>
      <c r="E65" s="258" t="s">
        <v>475</v>
      </c>
    </row>
    <row r="66" spans="1:5" ht="14.25" customHeight="1">
      <c r="A66" s="13" t="str">
        <f>C66&amp;D66&amp;E66</f>
        <v>SMYSTMT_DAILYINTERNAL_CATEGORY</v>
      </c>
      <c r="B66" s="13" t="s">
        <v>166</v>
      </c>
      <c r="C66" s="258" t="s">
        <v>448</v>
      </c>
      <c r="D66" s="16" t="s">
        <v>449</v>
      </c>
      <c r="E66" s="258" t="s">
        <v>476</v>
      </c>
    </row>
    <row r="67" spans="1:5" ht="14.25" customHeight="1">
      <c r="A67" s="13" t="str">
        <f>C67&amp;D67&amp;E67</f>
        <v>SMYSTMT_DAILYLOCAL_REF</v>
      </c>
      <c r="B67" s="13" t="s">
        <v>166</v>
      </c>
      <c r="C67" s="258" t="s">
        <v>448</v>
      </c>
      <c r="D67" s="16" t="s">
        <v>449</v>
      </c>
      <c r="E67" s="258" t="s">
        <v>477</v>
      </c>
    </row>
    <row r="68" spans="1:5" ht="14.25" customHeight="1">
      <c r="A68" s="13" t="str">
        <f>C68&amp;D68&amp;E68</f>
        <v>SMYSTMT_DAILYNARRATIVE</v>
      </c>
      <c r="B68" s="13" t="s">
        <v>166</v>
      </c>
      <c r="C68" s="13" t="s">
        <v>448</v>
      </c>
      <c r="D68" s="16" t="s">
        <v>449</v>
      </c>
      <c r="E68" s="13" t="s">
        <v>478</v>
      </c>
    </row>
    <row r="69" spans="1:5" ht="14.25" customHeight="1">
      <c r="A69" s="13" t="str">
        <f>C69&amp;D69&amp;E69</f>
        <v>SMYSTMT_DAILYORIG_AMOUNT_LCY</v>
      </c>
      <c r="B69" s="13" t="s">
        <v>166</v>
      </c>
      <c r="C69" s="13" t="s">
        <v>448</v>
      </c>
      <c r="D69" s="16" t="s">
        <v>449</v>
      </c>
      <c r="E69" s="13" t="s">
        <v>479</v>
      </c>
    </row>
    <row r="70" spans="1:5" ht="14.25" customHeight="1">
      <c r="A70" s="13" t="str">
        <f>C70&amp;D70&amp;E70</f>
        <v>SMYSTMT_DAILYORIGINAL_ACCT</v>
      </c>
      <c r="B70" s="13" t="s">
        <v>166</v>
      </c>
      <c r="C70" s="13" t="s">
        <v>448</v>
      </c>
      <c r="D70" s="16" t="s">
        <v>449</v>
      </c>
      <c r="E70" s="13" t="s">
        <v>480</v>
      </c>
    </row>
    <row r="71" spans="1:5" ht="14.25" customHeight="1">
      <c r="A71" s="13" t="str">
        <f>C71&amp;D71&amp;E71</f>
        <v>SMYSTMT_DAILYORIGINAL_AMOUNT</v>
      </c>
      <c r="B71" s="13" t="s">
        <v>166</v>
      </c>
      <c r="C71" s="13" t="s">
        <v>448</v>
      </c>
      <c r="D71" s="16" t="s">
        <v>449</v>
      </c>
      <c r="E71" s="13" t="s">
        <v>481</v>
      </c>
    </row>
    <row r="72" spans="1:5" ht="14.25" customHeight="1">
      <c r="A72" s="13" t="str">
        <f>C72&amp;D72&amp;E72</f>
        <v>SMYSTMT_DAILYORIGINAL_CCY</v>
      </c>
      <c r="B72" s="13" t="s">
        <v>166</v>
      </c>
      <c r="C72" s="13" t="s">
        <v>448</v>
      </c>
      <c r="D72" s="16" t="s">
        <v>449</v>
      </c>
      <c r="E72" s="13" t="s">
        <v>482</v>
      </c>
    </row>
    <row r="73" spans="1:5" ht="14.25" customHeight="1">
      <c r="A73" s="13" t="str">
        <f>C73&amp;D73&amp;E73</f>
        <v>SMYSTMT_DAILYORIGINAL_EXCH_RATE</v>
      </c>
      <c r="B73" s="13" t="s">
        <v>166</v>
      </c>
      <c r="C73" s="13" t="s">
        <v>448</v>
      </c>
      <c r="D73" s="16" t="s">
        <v>449</v>
      </c>
      <c r="E73" s="13" t="s">
        <v>483</v>
      </c>
    </row>
    <row r="74" spans="1:5" ht="14.25" customHeight="1">
      <c r="A74" s="13" t="str">
        <f>C74&amp;D74&amp;E74</f>
        <v>SMYSTMT_DAILYOUR_REFERENCE</v>
      </c>
      <c r="B74" s="13" t="s">
        <v>166</v>
      </c>
      <c r="C74" s="13" t="s">
        <v>448</v>
      </c>
      <c r="D74" s="16" t="s">
        <v>449</v>
      </c>
      <c r="E74" s="13" t="s">
        <v>484</v>
      </c>
    </row>
    <row r="75" spans="1:5" ht="14.25" customHeight="1">
      <c r="A75" s="13" t="str">
        <f>C75&amp;D75&amp;E75</f>
        <v>SMYSTMT_DAILYOUTSTANDING_BAL</v>
      </c>
      <c r="B75" s="13" t="s">
        <v>166</v>
      </c>
      <c r="C75" s="13" t="s">
        <v>448</v>
      </c>
      <c r="D75" s="16" t="s">
        <v>449</v>
      </c>
      <c r="E75" s="13" t="s">
        <v>485</v>
      </c>
    </row>
    <row r="76" spans="1:5" ht="14.25" customHeight="1">
      <c r="A76" s="13" t="str">
        <f>C76&amp;D76&amp;E76</f>
        <v>SMYSTMT_DAILYOVERRIDE</v>
      </c>
      <c r="B76" s="13" t="s">
        <v>166</v>
      </c>
      <c r="C76" s="13" t="s">
        <v>448</v>
      </c>
      <c r="D76" s="16" t="s">
        <v>449</v>
      </c>
      <c r="E76" s="13" t="s">
        <v>486</v>
      </c>
    </row>
    <row r="77" spans="1:5" ht="14.25" customHeight="1">
      <c r="A77" s="13" t="str">
        <f>C77&amp;D77&amp;E77</f>
        <v>SMYSTMT_DAILYPROCESS_FORWARD</v>
      </c>
      <c r="B77" s="13" t="s">
        <v>166</v>
      </c>
      <c r="C77" s="13" t="s">
        <v>448</v>
      </c>
      <c r="D77" s="16" t="s">
        <v>449</v>
      </c>
      <c r="E77" s="13" t="s">
        <v>487</v>
      </c>
    </row>
    <row r="78" spans="1:5" ht="14.25" customHeight="1">
      <c r="A78" s="13" t="str">
        <f>C78&amp;D78&amp;E78</f>
        <v>SMYSTMT_DAILYPROCESSING_DATE</v>
      </c>
      <c r="B78" s="13" t="s">
        <v>166</v>
      </c>
      <c r="C78" s="13" t="s">
        <v>448</v>
      </c>
      <c r="D78" s="16" t="s">
        <v>449</v>
      </c>
      <c r="E78" s="13" t="s">
        <v>488</v>
      </c>
    </row>
    <row r="79" spans="1:5" ht="14.25" customHeight="1">
      <c r="A79" s="13" t="str">
        <f>C79&amp;D79&amp;E79</f>
        <v>SMYSTMT_DAILYPRODUCT_CATEGORY</v>
      </c>
      <c r="B79" s="13" t="s">
        <v>166</v>
      </c>
      <c r="C79" s="13" t="s">
        <v>448</v>
      </c>
      <c r="D79" s="16" t="s">
        <v>449</v>
      </c>
      <c r="E79" s="13" t="s">
        <v>489</v>
      </c>
    </row>
    <row r="80" spans="1:5" ht="14.25" customHeight="1">
      <c r="A80" s="13" t="str">
        <f>C80&amp;D80&amp;E80</f>
        <v>SMYSTMT_DAILYRECID</v>
      </c>
      <c r="B80" s="13" t="s">
        <v>166</v>
      </c>
      <c r="C80" s="13" t="s">
        <v>448</v>
      </c>
      <c r="D80" s="16" t="s">
        <v>449</v>
      </c>
      <c r="E80" s="13" t="s">
        <v>490</v>
      </c>
    </row>
    <row r="81" spans="1:5" ht="14.25" customHeight="1">
      <c r="A81" s="13" t="str">
        <f>C81&amp;D81&amp;E81</f>
        <v>SMYSTMT_DAILYRECORD_STATUS</v>
      </c>
      <c r="B81" s="13" t="s">
        <v>166</v>
      </c>
      <c r="C81" s="13" t="s">
        <v>448</v>
      </c>
      <c r="D81" s="16" t="s">
        <v>449</v>
      </c>
      <c r="E81" s="13" t="s">
        <v>491</v>
      </c>
    </row>
    <row r="82" spans="1:5" ht="14.25" customHeight="1">
      <c r="A82" s="13" t="str">
        <f>C82&amp;D82&amp;E82</f>
        <v>SMYSTMT_DAILYREPAYMENT_AMT</v>
      </c>
      <c r="B82" s="13" t="s">
        <v>166</v>
      </c>
      <c r="C82" s="13" t="s">
        <v>448</v>
      </c>
      <c r="D82" s="16" t="s">
        <v>449</v>
      </c>
      <c r="E82" s="13" t="s">
        <v>492</v>
      </c>
    </row>
    <row r="83" spans="1:5" ht="14.25" customHeight="1">
      <c r="A83" s="13" t="str">
        <f>C83&amp;D83&amp;E83</f>
        <v>SMYSTMT_DAILYREPAYMENT_DATE</v>
      </c>
      <c r="B83" s="13" t="s">
        <v>166</v>
      </c>
      <c r="C83" s="13" t="s">
        <v>448</v>
      </c>
      <c r="D83" s="16" t="s">
        <v>449</v>
      </c>
      <c r="E83" s="13" t="s">
        <v>493</v>
      </c>
    </row>
    <row r="84" spans="1:5" ht="14.25" customHeight="1">
      <c r="A84" s="13" t="str">
        <f>C84&amp;D84&amp;E84</f>
        <v>SMYSTMT_DAILYREPAYMENT_TYPE</v>
      </c>
      <c r="B84" s="13" t="s">
        <v>166</v>
      </c>
      <c r="C84" s="13" t="s">
        <v>448</v>
      </c>
      <c r="D84" s="16" t="s">
        <v>449</v>
      </c>
      <c r="E84" s="13" t="s">
        <v>494</v>
      </c>
    </row>
    <row r="85" spans="1:5" ht="14.25" customHeight="1">
      <c r="A85" s="13" t="str">
        <f>C85&amp;D85&amp;E85</f>
        <v>SMYSTMT_DAILYSTMT_ENTRY_ID</v>
      </c>
      <c r="B85" s="13" t="s">
        <v>166</v>
      </c>
      <c r="C85" s="13" t="s">
        <v>448</v>
      </c>
      <c r="D85" s="16" t="s">
        <v>449</v>
      </c>
      <c r="E85" s="13" t="s">
        <v>495</v>
      </c>
    </row>
    <row r="86" spans="1:5" ht="14.25" customHeight="1">
      <c r="A86" s="13" t="str">
        <f>C86&amp;D86&amp;E86</f>
        <v>SMYSTMT_DAILYSTMT_NO</v>
      </c>
      <c r="B86" s="13" t="s">
        <v>166</v>
      </c>
      <c r="C86" s="13" t="s">
        <v>448</v>
      </c>
      <c r="D86" s="16" t="s">
        <v>449</v>
      </c>
      <c r="E86" s="13" t="s">
        <v>496</v>
      </c>
    </row>
    <row r="87" spans="1:5" ht="14.25" customHeight="1">
      <c r="A87" s="13" t="str">
        <f>C87&amp;D87&amp;E87</f>
        <v>SMYSTMT_DAILYSUSPENSE_CATEGORY</v>
      </c>
      <c r="B87" s="13" t="s">
        <v>166</v>
      </c>
      <c r="C87" s="13" t="s">
        <v>448</v>
      </c>
      <c r="D87" s="16" t="s">
        <v>449</v>
      </c>
      <c r="E87" s="13" t="s">
        <v>497</v>
      </c>
    </row>
    <row r="88" spans="1:5" ht="14.25" customHeight="1">
      <c r="A88" s="13" t="str">
        <f>C88&amp;D88&amp;E88</f>
        <v>SMYSTMT_DAILYSUSPNSE_VALUE_DATE</v>
      </c>
      <c r="B88" s="13" t="s">
        <v>166</v>
      </c>
      <c r="C88" s="13" t="s">
        <v>448</v>
      </c>
      <c r="D88" s="16" t="s">
        <v>449</v>
      </c>
      <c r="E88" s="13" t="s">
        <v>498</v>
      </c>
    </row>
    <row r="89" spans="1:5" ht="14.25" customHeight="1">
      <c r="A89" s="13" t="str">
        <f>C89&amp;D89&amp;E89</f>
        <v>SMYSTMT_DAILYSYSTEM_ID</v>
      </c>
      <c r="B89" s="13" t="s">
        <v>166</v>
      </c>
      <c r="C89" s="13" t="s">
        <v>448</v>
      </c>
      <c r="D89" s="16" t="s">
        <v>449</v>
      </c>
      <c r="E89" s="13" t="s">
        <v>499</v>
      </c>
    </row>
    <row r="90" spans="1:5" ht="14.25" customHeight="1">
      <c r="A90" s="13" t="str">
        <f>C90&amp;D90&amp;E90</f>
        <v>SMYSTMT_DAILYTHEIR_REFERENCE</v>
      </c>
      <c r="B90" s="13" t="s">
        <v>166</v>
      </c>
      <c r="C90" s="13" t="s">
        <v>448</v>
      </c>
      <c r="D90" s="16" t="s">
        <v>449</v>
      </c>
      <c r="E90" s="13" t="s">
        <v>500</v>
      </c>
    </row>
    <row r="91" spans="1:5" ht="14.25" customHeight="1">
      <c r="A91" s="13" t="str">
        <f>C91&amp;D91&amp;E91</f>
        <v>SMYSTMT_DAILYTRANS_REFERENCE</v>
      </c>
      <c r="B91" s="13" t="s">
        <v>166</v>
      </c>
      <c r="C91" s="13" t="s">
        <v>448</v>
      </c>
      <c r="D91" s="16" t="s">
        <v>449</v>
      </c>
      <c r="E91" s="13" t="s">
        <v>501</v>
      </c>
    </row>
    <row r="92" spans="1:5" ht="14.25" customHeight="1">
      <c r="A92" s="13" t="str">
        <f>C92&amp;D92&amp;E92</f>
        <v>SMYSTMT_DAILYTRANSACTION_CODE</v>
      </c>
      <c r="B92" s="13" t="s">
        <v>166</v>
      </c>
      <c r="C92" s="13" t="s">
        <v>448</v>
      </c>
      <c r="D92" s="16" t="s">
        <v>449</v>
      </c>
      <c r="E92" s="13" t="s">
        <v>502</v>
      </c>
    </row>
    <row r="93" spans="1:5" ht="14.25" customHeight="1">
      <c r="A93" s="13" t="str">
        <f>C93&amp;D93&amp;E93</f>
        <v>SMYSTMT_DAILYTXN_DATE</v>
      </c>
      <c r="B93" s="13" t="s">
        <v>166</v>
      </c>
      <c r="C93" s="13" t="s">
        <v>448</v>
      </c>
      <c r="D93" s="16" t="s">
        <v>449</v>
      </c>
      <c r="E93" s="13" t="s">
        <v>503</v>
      </c>
    </row>
    <row r="94" spans="1:5" ht="14.25" customHeight="1">
      <c r="A94" s="13" t="str">
        <f>C94&amp;D94&amp;E94</f>
        <v>SMYSTMT_DAILYVALUE_DATE</v>
      </c>
      <c r="B94" s="13" t="s">
        <v>166</v>
      </c>
      <c r="C94" s="13" t="s">
        <v>448</v>
      </c>
      <c r="D94" s="16" t="s">
        <v>449</v>
      </c>
      <c r="E94" s="13" t="s">
        <v>504</v>
      </c>
    </row>
    <row r="95" spans="1:5" ht="14.25" customHeight="1">
      <c r="A95" s="13" t="str">
        <f>C95&amp;D95&amp;E95</f>
        <v>SOURCESAOKE_CRBACC_FCC</v>
      </c>
      <c r="B95" s="13" t="s">
        <v>166</v>
      </c>
      <c r="C95" s="13" t="s">
        <v>505</v>
      </c>
      <c r="D95" s="16" t="s">
        <v>506</v>
      </c>
      <c r="E95" s="13" t="s">
        <v>507</v>
      </c>
    </row>
    <row r="96" spans="1:5" ht="14.25" customHeight="1">
      <c r="A96" s="13" t="str">
        <f>C96&amp;D96&amp;E96</f>
        <v>SOURCESAOKE_CRBACC_FCC</v>
      </c>
      <c r="B96" s="13" t="s">
        <v>190</v>
      </c>
      <c r="C96" s="13" t="s">
        <v>505</v>
      </c>
      <c r="D96" s="16" t="s">
        <v>506</v>
      </c>
      <c r="E96" s="13" t="s">
        <v>507</v>
      </c>
    </row>
    <row r="97" spans="1:5" ht="14.25" customHeight="1">
      <c r="A97" s="13" t="str">
        <f>C97&amp;D97&amp;E97</f>
        <v>SOURCESAOKE_CRBAMOUNT_CUR</v>
      </c>
      <c r="B97" s="13" t="s">
        <v>166</v>
      </c>
      <c r="C97" s="13" t="s">
        <v>505</v>
      </c>
      <c r="D97" s="16" t="s">
        <v>506</v>
      </c>
      <c r="E97" s="13" t="s">
        <v>508</v>
      </c>
    </row>
    <row r="98" spans="1:5" ht="14.25" customHeight="1">
      <c r="A98" s="13" t="str">
        <f>C98&amp;D98&amp;E98</f>
        <v>SOURCESAOKE_CRBAMOUNT_CUR</v>
      </c>
      <c r="B98" s="13" t="s">
        <v>190</v>
      </c>
      <c r="C98" s="13" t="s">
        <v>505</v>
      </c>
      <c r="D98" s="16" t="s">
        <v>506</v>
      </c>
      <c r="E98" s="13" t="s">
        <v>508</v>
      </c>
    </row>
    <row r="99" spans="1:5" ht="14.25" customHeight="1">
      <c r="A99" s="13" t="str">
        <f>C99&amp;D99&amp;E99</f>
        <v>SOURCESAOKE_CRBAMOUNT_LCY</v>
      </c>
      <c r="B99" s="13" t="s">
        <v>166</v>
      </c>
      <c r="C99" s="13" t="s">
        <v>505</v>
      </c>
      <c r="D99" s="16" t="s">
        <v>506</v>
      </c>
      <c r="E99" s="13" t="s">
        <v>457</v>
      </c>
    </row>
    <row r="100" spans="1:5" ht="14.25" customHeight="1">
      <c r="A100" s="13" t="str">
        <f>C100&amp;D100&amp;E100</f>
        <v>SOURCESAOKE_CRBAPP_CODE</v>
      </c>
      <c r="B100" s="13" t="s">
        <v>166</v>
      </c>
      <c r="C100" s="13" t="s">
        <v>505</v>
      </c>
      <c r="D100" s="16" t="s">
        <v>506</v>
      </c>
      <c r="E100" s="13" t="s">
        <v>509</v>
      </c>
    </row>
    <row r="101" spans="1:5" ht="14.25" customHeight="1">
      <c r="A101" s="13" t="str">
        <f>C101&amp;D101&amp;E101</f>
        <v xml:space="preserve">SOURCESAOKE_CRBAPP_CODE  </v>
      </c>
      <c r="B101" s="13" t="s">
        <v>190</v>
      </c>
      <c r="C101" s="13" t="s">
        <v>505</v>
      </c>
      <c r="D101" s="16" t="s">
        <v>506</v>
      </c>
      <c r="E101" s="13" t="s">
        <v>510</v>
      </c>
    </row>
    <row r="102" spans="1:5" ht="14.25" customHeight="1">
      <c r="A102" s="13" t="str">
        <f>C102&amp;D102&amp;E102</f>
        <v>SOURCESAOKE_CRBAPP_ID</v>
      </c>
      <c r="B102" s="13" t="s">
        <v>166</v>
      </c>
      <c r="C102" s="13" t="s">
        <v>505</v>
      </c>
      <c r="D102" s="16" t="s">
        <v>506</v>
      </c>
      <c r="E102" s="13" t="s">
        <v>511</v>
      </c>
    </row>
    <row r="103" spans="1:5" ht="14.25" customHeight="1">
      <c r="A103" s="13" t="str">
        <f>C103&amp;D103&amp;E103</f>
        <v>SOURCESAOKE_CRBAPP_ID</v>
      </c>
      <c r="B103" s="13" t="s">
        <v>190</v>
      </c>
      <c r="C103" s="13" t="s">
        <v>505</v>
      </c>
      <c r="D103" s="16" t="s">
        <v>506</v>
      </c>
      <c r="E103" s="13" t="s">
        <v>511</v>
      </c>
    </row>
    <row r="104" spans="1:5" ht="14.25" customHeight="1">
      <c r="A104" s="13" t="str">
        <f>C104&amp;D104&amp;E104</f>
        <v>T24CORECUSTOMERASSET_CLASS</v>
      </c>
      <c r="B104" s="13" t="s">
        <v>166</v>
      </c>
      <c r="C104" s="13" t="s">
        <v>512</v>
      </c>
      <c r="D104" s="16" t="s">
        <v>513</v>
      </c>
      <c r="E104" s="13" t="s">
        <v>514</v>
      </c>
    </row>
    <row r="105" spans="1:5" ht="14.25" customHeight="1">
      <c r="A105" s="13" t="str">
        <f>C105&amp;D105&amp;E105</f>
        <v>SOURCESAOKE_CRBASSET_TYPE</v>
      </c>
      <c r="B105" s="13" t="s">
        <v>166</v>
      </c>
      <c r="C105" s="13" t="s">
        <v>505</v>
      </c>
      <c r="D105" s="16" t="s">
        <v>506</v>
      </c>
      <c r="E105" s="13" t="s">
        <v>515</v>
      </c>
    </row>
    <row r="106" spans="1:5" ht="14.25" customHeight="1">
      <c r="A106" s="13" t="str">
        <f>C106&amp;D106&amp;E106</f>
        <v>SOURCESAOKE_CRBASSET_TYPE</v>
      </c>
      <c r="B106" s="13" t="s">
        <v>190</v>
      </c>
      <c r="C106" s="13" t="s">
        <v>505</v>
      </c>
      <c r="D106" s="16" t="s">
        <v>506</v>
      </c>
      <c r="E106" s="13" t="s">
        <v>515</v>
      </c>
    </row>
    <row r="107" spans="1:5" ht="14.25" customHeight="1">
      <c r="A107" s="13" t="str">
        <f>C107&amp;D107&amp;E107</f>
        <v>SOURCESAOKE_CRBCATEG_CODE</v>
      </c>
      <c r="B107" s="13" t="s">
        <v>166</v>
      </c>
      <c r="C107" s="13" t="s">
        <v>505</v>
      </c>
      <c r="D107" s="16" t="s">
        <v>506</v>
      </c>
      <c r="E107" s="13" t="s">
        <v>516</v>
      </c>
    </row>
    <row r="108" spans="1:5" ht="14.25" customHeight="1">
      <c r="A108" s="13" t="str">
        <f>C108&amp;D108&amp;E108</f>
        <v>SOURCESAOKE_CRBCATEG_CODE</v>
      </c>
      <c r="B108" s="13" t="s">
        <v>190</v>
      </c>
      <c r="C108" s="13" t="s">
        <v>505</v>
      </c>
      <c r="D108" s="16" t="s">
        <v>506</v>
      </c>
      <c r="E108" s="13" t="s">
        <v>516</v>
      </c>
    </row>
    <row r="109" spans="1:5" ht="14.25" customHeight="1">
      <c r="A109" s="13" t="str">
        <f>C109&amp;D109&amp;E109</f>
        <v>SOURCESAOKE_CRBCO_CODE</v>
      </c>
      <c r="B109" s="13" t="s">
        <v>190</v>
      </c>
      <c r="C109" s="13" t="s">
        <v>505</v>
      </c>
      <c r="D109" s="16" t="s">
        <v>506</v>
      </c>
      <c r="E109" s="13" t="s">
        <v>460</v>
      </c>
    </row>
    <row r="110" spans="1:5" ht="14.25" customHeight="1">
      <c r="A110" s="13" t="str">
        <f>C110&amp;D110&amp;E110</f>
        <v xml:space="preserve">SOURCESAOKE_CRBCURR </v>
      </c>
      <c r="B110" s="13" t="s">
        <v>190</v>
      </c>
      <c r="C110" s="13" t="s">
        <v>505</v>
      </c>
      <c r="D110" s="16" t="s">
        <v>506</v>
      </c>
      <c r="E110" s="13" t="s">
        <v>517</v>
      </c>
    </row>
    <row r="111" spans="1:5" ht="14.25" customHeight="1">
      <c r="A111" s="13" t="str">
        <f>C111&amp;D111&amp;E111</f>
        <v>SOURCESAOKE_CRBCUS_ID</v>
      </c>
      <c r="B111" s="13" t="s">
        <v>166</v>
      </c>
      <c r="C111" s="13" t="s">
        <v>505</v>
      </c>
      <c r="D111" s="16" t="s">
        <v>506</v>
      </c>
      <c r="E111" s="13" t="s">
        <v>518</v>
      </c>
    </row>
    <row r="112" spans="1:5" ht="14.25" customHeight="1">
      <c r="A112" s="13" t="str">
        <f>C112&amp;D112&amp;E112</f>
        <v>SOURCESAOKE_CRBCUS_ID</v>
      </c>
      <c r="B112" s="13" t="s">
        <v>190</v>
      </c>
      <c r="C112" s="13" t="s">
        <v>505</v>
      </c>
      <c r="D112" s="16" t="s">
        <v>506</v>
      </c>
      <c r="E112" s="13" t="s">
        <v>518</v>
      </c>
    </row>
    <row r="113" spans="1:5" ht="14.25" customHeight="1">
      <c r="A113" s="13" t="str">
        <f>C113&amp;D113&amp;E113</f>
        <v>SOURCESAOKE_CRBDATE</v>
      </c>
      <c r="B113" s="13" t="s">
        <v>166</v>
      </c>
      <c r="C113" s="13" t="s">
        <v>505</v>
      </c>
      <c r="D113" s="16" t="s">
        <v>506</v>
      </c>
      <c r="E113" s="13" t="s">
        <v>519</v>
      </c>
    </row>
    <row r="114" spans="1:5" ht="14.25" customHeight="1">
      <c r="A114" s="13" t="str">
        <f>C114&amp;D114&amp;E114</f>
        <v>SOURCESAOKE_CRBLOC_TERM</v>
      </c>
      <c r="B114" s="13" t="s">
        <v>190</v>
      </c>
      <c r="C114" s="13" t="s">
        <v>505</v>
      </c>
      <c r="D114" s="16" t="s">
        <v>506</v>
      </c>
      <c r="E114" s="13" t="s">
        <v>520</v>
      </c>
    </row>
    <row r="115" spans="1:5" ht="14.25" customHeight="1">
      <c r="A115" s="13" t="str">
        <f>C115&amp;D115&amp;E115</f>
        <v>SOURCESAOKE_CRBMAT_DATE</v>
      </c>
      <c r="B115" s="13" t="s">
        <v>190</v>
      </c>
      <c r="C115" s="13" t="s">
        <v>505</v>
      </c>
      <c r="D115" s="16" t="s">
        <v>506</v>
      </c>
      <c r="E115" s="13" t="s">
        <v>521</v>
      </c>
    </row>
    <row r="116" spans="1:5" ht="14.25" customHeight="1">
      <c r="A116" s="13" t="str">
        <f>C116&amp;D116&amp;E116</f>
        <v>SOURCESAOKE_CRBSBV_CODE</v>
      </c>
      <c r="B116" s="13" t="s">
        <v>166</v>
      </c>
      <c r="C116" s="13" t="s">
        <v>505</v>
      </c>
      <c r="D116" s="16" t="s">
        <v>506</v>
      </c>
      <c r="E116" s="13" t="s">
        <v>522</v>
      </c>
    </row>
    <row r="117" spans="1:5" ht="14.25" customHeight="1">
      <c r="A117" s="13" t="str">
        <f>C117&amp;D117&amp;E117</f>
        <v>SOURCESAOKE_CRBSBV_CODE</v>
      </c>
      <c r="B117" s="13" t="s">
        <v>190</v>
      </c>
      <c r="C117" s="13" t="s">
        <v>505</v>
      </c>
      <c r="D117" s="16" t="s">
        <v>506</v>
      </c>
      <c r="E117" s="13" t="s">
        <v>522</v>
      </c>
    </row>
    <row r="118" spans="1:5" ht="14.25" customHeight="1">
      <c r="A118" s="13" t="str">
        <f>C118&amp;D118&amp;E118</f>
        <v xml:space="preserve">SOURCESAOKE_CRBSUB_PRO </v>
      </c>
      <c r="B118" s="13" t="s">
        <v>190</v>
      </c>
      <c r="C118" s="13" t="s">
        <v>505</v>
      </c>
      <c r="D118" s="16" t="s">
        <v>506</v>
      </c>
      <c r="E118" s="13" t="s">
        <v>523</v>
      </c>
    </row>
    <row r="119" spans="1:5" ht="14.25" customHeight="1">
      <c r="A119" s="13" t="str">
        <f>C119&amp;D119&amp;E119</f>
        <v>SOURCESAOKE_CRBTXN_DATE</v>
      </c>
      <c r="B119" s="13" t="s">
        <v>190</v>
      </c>
      <c r="C119" s="13" t="s">
        <v>505</v>
      </c>
      <c r="D119" s="16" t="s">
        <v>506</v>
      </c>
      <c r="E119" s="13" t="s">
        <v>503</v>
      </c>
    </row>
    <row r="120" spans="1:5" ht="14.25" customHeight="1">
      <c r="A120" s="13" t="str">
        <f>C120&amp;D120&amp;E120</f>
        <v>SOURCESAOKE_CRBVAL_DATE</v>
      </c>
      <c r="B120" s="13" t="s">
        <v>190</v>
      </c>
      <c r="C120" s="13" t="s">
        <v>505</v>
      </c>
      <c r="D120" s="16" t="s">
        <v>506</v>
      </c>
      <c r="E120" s="13" t="s">
        <v>524</v>
      </c>
    </row>
    <row r="121" spans="1:5" ht="14.25" customHeight="1">
      <c r="A121" s="13" t="str">
        <f>C121&amp;D121&amp;E121</f>
        <v>SOURCESAOKE_MVMTSBV_CODE</v>
      </c>
      <c r="B121" s="13" t="s">
        <v>166</v>
      </c>
      <c r="C121" s="13" t="s">
        <v>505</v>
      </c>
      <c r="D121" s="16" t="s">
        <v>525</v>
      </c>
      <c r="E121" s="13" t="s">
        <v>522</v>
      </c>
    </row>
    <row r="122" spans="1:5" ht="14.25" customHeight="1">
      <c r="A122" s="13" t="str">
        <f>C122&amp;D122&amp;E122</f>
        <v>SOURCESAOKE_MVMTTRANS_REF</v>
      </c>
      <c r="B122" s="13" t="s">
        <v>166</v>
      </c>
      <c r="C122" s="13" t="s">
        <v>505</v>
      </c>
      <c r="D122" s="16" t="s">
        <v>525</v>
      </c>
      <c r="E122" s="13" t="s">
        <v>526</v>
      </c>
    </row>
    <row r="123" spans="1:5" ht="14.25" customHeight="1">
      <c r="A123" s="13" t="str">
        <f>C123&amp;D123&amp;E123</f>
        <v>SOURCESAOKE_MVMTTXN_DATE</v>
      </c>
      <c r="B123" s="13" t="s">
        <v>166</v>
      </c>
      <c r="C123" s="13" t="s">
        <v>505</v>
      </c>
      <c r="D123" s="16" t="s">
        <v>525</v>
      </c>
      <c r="E123" s="13" t="s">
        <v>503</v>
      </c>
    </row>
    <row r="124" spans="1:5" ht="14.25" customHeight="1">
      <c r="A124" s="13" t="str">
        <f>C124&amp;D124&amp;E124</f>
        <v>T24CORECOMPANYCOMPANY_NAME</v>
      </c>
      <c r="B124" s="13" t="s">
        <v>190</v>
      </c>
      <c r="C124" s="13" t="s">
        <v>512</v>
      </c>
      <c r="D124" s="16" t="s">
        <v>527</v>
      </c>
      <c r="E124" s="13" t="s">
        <v>528</v>
      </c>
    </row>
    <row r="125" spans="1:5" ht="14.25" customHeight="1">
      <c r="A125" s="13" t="str">
        <f>C125&amp;D125&amp;E125</f>
        <v>T24CORECOMPANYRECID</v>
      </c>
      <c r="B125" s="13" t="s">
        <v>190</v>
      </c>
      <c r="C125" s="13" t="s">
        <v>512</v>
      </c>
      <c r="D125" s="16" t="s">
        <v>527</v>
      </c>
      <c r="E125" s="13" t="s">
        <v>490</v>
      </c>
    </row>
    <row r="126" spans="1:5" ht="14.25" customHeight="1">
      <c r="A126" s="13" t="str">
        <f>C126&amp;D126&amp;E126</f>
        <v>T24CORECUSTOMERACCOUNT_OFFICER</v>
      </c>
      <c r="B126" s="13" t="s">
        <v>195</v>
      </c>
      <c r="C126" s="18" t="s">
        <v>512</v>
      </c>
      <c r="D126" s="16" t="s">
        <v>513</v>
      </c>
      <c r="E126" s="19" t="s">
        <v>529</v>
      </c>
    </row>
    <row r="127" spans="1:5" ht="14.25" customHeight="1">
      <c r="A127" s="13" t="str">
        <f>C127&amp;D127&amp;E127</f>
        <v>T24CORECUSTOMERACTIVE_STATUS</v>
      </c>
      <c r="B127" s="13" t="s">
        <v>195</v>
      </c>
      <c r="C127" s="18" t="s">
        <v>512</v>
      </c>
      <c r="D127" s="16" t="s">
        <v>513</v>
      </c>
      <c r="E127" s="19" t="s">
        <v>530</v>
      </c>
    </row>
    <row r="128" spans="1:5" ht="14.25" customHeight="1">
      <c r="A128" s="13" t="str">
        <f>C128&amp;D128&amp;E128</f>
        <v>T24CORECUSTOMERAML_CHECK</v>
      </c>
      <c r="B128" s="13" t="s">
        <v>195</v>
      </c>
      <c r="C128" s="18" t="s">
        <v>512</v>
      </c>
      <c r="D128" s="16" t="s">
        <v>513</v>
      </c>
      <c r="E128" s="19" t="s">
        <v>531</v>
      </c>
    </row>
    <row r="129" spans="1:5" ht="14.25" customHeight="1">
      <c r="A129" s="13" t="str">
        <f>C129&amp;D129&amp;E129</f>
        <v>T24CORECUSTOMERAML_RESULT</v>
      </c>
      <c r="B129" s="13" t="s">
        <v>195</v>
      </c>
      <c r="C129" s="18" t="s">
        <v>512</v>
      </c>
      <c r="D129" s="16" t="s">
        <v>513</v>
      </c>
      <c r="E129" s="19" t="s">
        <v>532</v>
      </c>
    </row>
    <row r="130" spans="1:5" ht="14.25" customHeight="1">
      <c r="A130" s="13" t="str">
        <f>C130&amp;D130&amp;E130</f>
        <v>T24CORECUSTOMERASSET_CLASS</v>
      </c>
      <c r="B130" s="13" t="s">
        <v>166</v>
      </c>
      <c r="C130" s="13" t="s">
        <v>512</v>
      </c>
      <c r="D130" s="16" t="s">
        <v>513</v>
      </c>
      <c r="E130" s="13" t="s">
        <v>514</v>
      </c>
    </row>
    <row r="131" spans="1:5" ht="14.25" customHeight="1">
      <c r="A131" s="13" t="str">
        <f>C131&amp;D131&amp;E131</f>
        <v>T24CORECUSTOMERASSET_CLASS</v>
      </c>
      <c r="B131" s="13" t="s">
        <v>190</v>
      </c>
      <c r="C131" s="13" t="s">
        <v>512</v>
      </c>
      <c r="D131" s="16" t="s">
        <v>513</v>
      </c>
      <c r="E131" s="13" t="s">
        <v>514</v>
      </c>
    </row>
    <row r="132" spans="1:5" ht="14.25" customHeight="1">
      <c r="A132" s="13" t="str">
        <f>C132&amp;D132&amp;E132</f>
        <v>T24CORECUSTOMERASSET_CLASS</v>
      </c>
      <c r="B132" s="13" t="s">
        <v>195</v>
      </c>
      <c r="C132" s="18" t="s">
        <v>512</v>
      </c>
      <c r="D132" s="16" t="s">
        <v>513</v>
      </c>
      <c r="E132" s="19" t="s">
        <v>514</v>
      </c>
    </row>
    <row r="133" spans="1:5" ht="14.25" customHeight="1">
      <c r="A133" s="13" t="str">
        <f>C133&amp;D133&amp;E133</f>
        <v xml:space="preserve">T24CORECUSTOMERBDATE_LEGAL </v>
      </c>
      <c r="B133" s="13" t="s">
        <v>195</v>
      </c>
      <c r="C133" s="18" t="s">
        <v>512</v>
      </c>
      <c r="D133" s="16" t="s">
        <v>513</v>
      </c>
      <c r="E133" s="19" t="s">
        <v>533</v>
      </c>
    </row>
    <row r="134" spans="1:5" ht="14.25" customHeight="1">
      <c r="A134" s="13" t="str">
        <f>C134&amp;D134&amp;E134</f>
        <v>T24CORECUSTOMERBDAY_DIRECTOR</v>
      </c>
      <c r="B134" s="13" t="s">
        <v>195</v>
      </c>
      <c r="C134" s="18" t="s">
        <v>512</v>
      </c>
      <c r="D134" s="16" t="s">
        <v>513</v>
      </c>
      <c r="E134" s="19" t="s">
        <v>534</v>
      </c>
    </row>
    <row r="135" spans="1:5" ht="14.25" customHeight="1">
      <c r="A135" s="13" t="str">
        <f>C135&amp;D135&amp;E135</f>
        <v xml:space="preserve">T24CORECUSTOMERBIRTH_INCORP_DATE </v>
      </c>
      <c r="B135" s="13" t="s">
        <v>195</v>
      </c>
      <c r="C135" s="18" t="s">
        <v>512</v>
      </c>
      <c r="D135" s="16" t="s">
        <v>513</v>
      </c>
      <c r="E135" s="19" t="s">
        <v>535</v>
      </c>
    </row>
    <row r="136" spans="1:5" ht="14.25" customHeight="1">
      <c r="A136" s="13" t="str">
        <f>C136&amp;D136&amp;E136</f>
        <v>T24CORECUSTOMERCO_CODE</v>
      </c>
      <c r="B136" s="13" t="s">
        <v>195</v>
      </c>
      <c r="C136" s="18" t="s">
        <v>512</v>
      </c>
      <c r="D136" s="16" t="s">
        <v>513</v>
      </c>
      <c r="E136" s="19" t="s">
        <v>460</v>
      </c>
    </row>
    <row r="137" spans="1:5" ht="14.25" customHeight="1">
      <c r="A137" s="13" t="str">
        <f>C137&amp;D137&amp;E137</f>
        <v xml:space="preserve">T24CORECUSTOMERCOMPANY_BOOK </v>
      </c>
      <c r="B137" s="13" t="s">
        <v>195</v>
      </c>
      <c r="C137" s="18" t="s">
        <v>512</v>
      </c>
      <c r="D137" s="16" t="s">
        <v>513</v>
      </c>
      <c r="E137" s="19" t="s">
        <v>536</v>
      </c>
    </row>
    <row r="138" spans="1:5" ht="14.25" customHeight="1">
      <c r="A138" s="13" t="str">
        <f>C138&amp;D138&amp;E138</f>
        <v xml:space="preserve">T24CORECUSTOMERCONTACT_DATE </v>
      </c>
      <c r="B138" s="13" t="s">
        <v>195</v>
      </c>
      <c r="C138" s="18" t="s">
        <v>512</v>
      </c>
      <c r="D138" s="16" t="s">
        <v>513</v>
      </c>
      <c r="E138" s="19" t="s">
        <v>537</v>
      </c>
    </row>
    <row r="139" spans="1:5" ht="14.25" customHeight="1">
      <c r="A139" s="13" t="str">
        <f>C139&amp;D139&amp;E139</f>
        <v>T24CORECUSTOMERCONTACT_PERSON</v>
      </c>
      <c r="B139" s="13" t="s">
        <v>195</v>
      </c>
      <c r="C139" s="18" t="s">
        <v>512</v>
      </c>
      <c r="D139" s="16" t="s">
        <v>513</v>
      </c>
      <c r="E139" s="19" t="s">
        <v>538</v>
      </c>
    </row>
    <row r="140" spans="1:5" ht="14.25" customHeight="1">
      <c r="A140" s="13" t="str">
        <f>C140&amp;D140&amp;E140</f>
        <v>T24CORECUSTOMERCOUNTRY</v>
      </c>
      <c r="B140" s="13" t="s">
        <v>195</v>
      </c>
      <c r="C140" s="18" t="s">
        <v>512</v>
      </c>
      <c r="D140" s="16" t="s">
        <v>513</v>
      </c>
      <c r="E140" s="19" t="s">
        <v>539</v>
      </c>
    </row>
    <row r="141" spans="1:5" ht="14.25" customHeight="1">
      <c r="A141" s="13" t="str">
        <f>C141&amp;D141&amp;E141</f>
        <v xml:space="preserve">T24CORECUSTOMERCU_EFF_DATE </v>
      </c>
      <c r="B141" s="13" t="s">
        <v>195</v>
      </c>
      <c r="C141" s="18" t="s">
        <v>512</v>
      </c>
      <c r="D141" s="16" t="s">
        <v>513</v>
      </c>
      <c r="E141" s="19" t="s">
        <v>540</v>
      </c>
    </row>
    <row r="142" spans="1:5" ht="14.25" customHeight="1">
      <c r="A142" s="13" t="str">
        <f>C142&amp;D142&amp;E142</f>
        <v>T24CORECUSTOMERCUS_IND_PARENT</v>
      </c>
      <c r="B142" s="13" t="s">
        <v>195</v>
      </c>
      <c r="C142" s="18" t="s">
        <v>512</v>
      </c>
      <c r="D142" s="16" t="s">
        <v>513</v>
      </c>
      <c r="E142" s="19" t="s">
        <v>541</v>
      </c>
    </row>
    <row r="143" spans="1:5" ht="14.25" customHeight="1">
      <c r="A143" s="13" t="str">
        <f>C143&amp;D143&amp;E143</f>
        <v>T24CORECUSTOMERCUS_IND_PARENT</v>
      </c>
      <c r="B143" s="13" t="s">
        <v>171</v>
      </c>
      <c r="C143" s="18" t="s">
        <v>512</v>
      </c>
      <c r="D143" s="16" t="s">
        <v>513</v>
      </c>
      <c r="E143" s="13" t="s">
        <v>541</v>
      </c>
    </row>
    <row r="144" spans="1:5" ht="14.25" customHeight="1">
      <c r="A144" s="13" t="str">
        <f>C144&amp;D144&amp;E144</f>
        <v>T24CORECUSTOMERCUS_IND_PARENT</v>
      </c>
      <c r="B144" s="13" t="s">
        <v>190</v>
      </c>
      <c r="C144" s="13" t="s">
        <v>512</v>
      </c>
      <c r="D144" s="16" t="s">
        <v>513</v>
      </c>
      <c r="E144" s="13" t="s">
        <v>541</v>
      </c>
    </row>
    <row r="145" spans="1:5" ht="14.25" customHeight="1">
      <c r="A145" s="13" t="str">
        <f>C145&amp;D145&amp;E145</f>
        <v>T24CORECUSTOMERCUSTOMER_STATUS</v>
      </c>
      <c r="B145" s="13" t="s">
        <v>195</v>
      </c>
      <c r="C145" s="18" t="s">
        <v>512</v>
      </c>
      <c r="D145" s="16" t="s">
        <v>513</v>
      </c>
      <c r="E145" s="19" t="s">
        <v>542</v>
      </c>
    </row>
    <row r="146" spans="1:5" ht="14.25" customHeight="1">
      <c r="A146" s="13" t="str">
        <f>C146&amp;D146&amp;E146</f>
        <v>T24CORECUSTOMERDATE_TIME</v>
      </c>
      <c r="B146" s="13" t="s">
        <v>195</v>
      </c>
      <c r="C146" s="18" t="s">
        <v>512</v>
      </c>
      <c r="D146" s="16" t="s">
        <v>513</v>
      </c>
      <c r="E146" s="19" t="s">
        <v>472</v>
      </c>
    </row>
    <row r="147" spans="1:5" ht="14.25" customHeight="1">
      <c r="A147" s="13" t="str">
        <f>C147&amp;D147&amp;E147</f>
        <v>T24CORECUSTOMEREMAIL_ADDRESS</v>
      </c>
      <c r="B147" s="13" t="s">
        <v>195</v>
      </c>
      <c r="C147" s="18" t="s">
        <v>512</v>
      </c>
      <c r="D147" s="16" t="s">
        <v>513</v>
      </c>
      <c r="E147" s="19" t="s">
        <v>543</v>
      </c>
    </row>
    <row r="148" spans="1:5" ht="14.25" customHeight="1">
      <c r="A148" s="13" t="str">
        <f>C148&amp;D148&amp;E148</f>
        <v>T24CORECUSTOMEREMPLOYMENT_STATUS</v>
      </c>
      <c r="B148" s="13" t="s">
        <v>195</v>
      </c>
      <c r="C148" s="18" t="s">
        <v>512</v>
      </c>
      <c r="D148" s="16" t="s">
        <v>513</v>
      </c>
      <c r="E148" s="19" t="s">
        <v>544</v>
      </c>
    </row>
    <row r="149" spans="1:5" ht="14.25" customHeight="1">
      <c r="A149" s="13" t="str">
        <f>C149&amp;D149&amp;E149</f>
        <v xml:space="preserve">T24CORECUSTOMERESTAB_LIC_CODE </v>
      </c>
      <c r="B149" s="13" t="s">
        <v>195</v>
      </c>
      <c r="C149" s="18" t="s">
        <v>512</v>
      </c>
      <c r="D149" s="16" t="s">
        <v>513</v>
      </c>
      <c r="E149" s="19" t="s">
        <v>545</v>
      </c>
    </row>
    <row r="150" spans="1:5" ht="14.25" customHeight="1">
      <c r="A150" s="13" t="str">
        <f>C150&amp;D150&amp;E150</f>
        <v xml:space="preserve">T24CORECUSTOMERFFB_TYPE </v>
      </c>
      <c r="B150" s="13" t="s">
        <v>195</v>
      </c>
      <c r="C150" s="18" t="s">
        <v>512</v>
      </c>
      <c r="D150" s="16" t="s">
        <v>513</v>
      </c>
      <c r="E150" s="19" t="s">
        <v>546</v>
      </c>
    </row>
    <row r="151" spans="1:5" ht="14.25" customHeight="1">
      <c r="A151" s="13" t="str">
        <f>C151&amp;D151&amp;E151</f>
        <v>T24CORECUSTOMERGEN_DIR_PLC</v>
      </c>
      <c r="B151" s="13" t="s">
        <v>195</v>
      </c>
      <c r="C151" s="18" t="s">
        <v>512</v>
      </c>
      <c r="D151" s="16" t="s">
        <v>513</v>
      </c>
      <c r="E151" s="19" t="s">
        <v>547</v>
      </c>
    </row>
    <row r="152" spans="1:5" ht="14.25" customHeight="1">
      <c r="A152" s="13" t="str">
        <f>C152&amp;D152&amp;E152</f>
        <v>T24CORECUSTOMERHOME_NUMBER</v>
      </c>
      <c r="B152" s="13" t="s">
        <v>195</v>
      </c>
      <c r="C152" s="18" t="s">
        <v>512</v>
      </c>
      <c r="D152" s="16" t="s">
        <v>513</v>
      </c>
      <c r="E152" s="19" t="s">
        <v>548</v>
      </c>
    </row>
    <row r="153" spans="1:5" ht="14.25" customHeight="1">
      <c r="A153" s="13" t="str">
        <f>C153&amp;D153&amp;E153</f>
        <v>T24CORECUSTOMERINDUSTRY</v>
      </c>
      <c r="B153" s="13" t="s">
        <v>195</v>
      </c>
      <c r="C153" s="18" t="s">
        <v>512</v>
      </c>
      <c r="D153" s="16" t="s">
        <v>513</v>
      </c>
      <c r="E153" s="19" t="s">
        <v>549</v>
      </c>
    </row>
    <row r="154" spans="1:5" ht="14.25" customHeight="1">
      <c r="A154" s="13" t="str">
        <f>C154&amp;D154&amp;E154</f>
        <v>T24CORECUSTOMERINTERNET_BANKING_SERVICE</v>
      </c>
      <c r="B154" s="13" t="s">
        <v>195</v>
      </c>
      <c r="C154" s="18" t="s">
        <v>512</v>
      </c>
      <c r="D154" s="16" t="s">
        <v>513</v>
      </c>
      <c r="E154" s="19" t="s">
        <v>550</v>
      </c>
    </row>
    <row r="155" spans="1:5" ht="14.25" customHeight="1">
      <c r="A155" s="13" t="str">
        <f>C155&amp;D155&amp;E155</f>
        <v>T24CORECUSTOMERKHOI</v>
      </c>
      <c r="B155" s="13" t="s">
        <v>195</v>
      </c>
      <c r="C155" s="18" t="s">
        <v>512</v>
      </c>
      <c r="D155" s="16" t="s">
        <v>513</v>
      </c>
      <c r="E155" s="19" t="s">
        <v>551</v>
      </c>
    </row>
    <row r="156" spans="1:5" ht="14.25" customHeight="1">
      <c r="A156" s="13" t="str">
        <f>C156&amp;D156&amp;E156</f>
        <v>T24CORECUSTOMERKHOI</v>
      </c>
      <c r="B156" s="13" t="s">
        <v>171</v>
      </c>
      <c r="C156" s="18" t="s">
        <v>512</v>
      </c>
      <c r="D156" s="16" t="s">
        <v>513</v>
      </c>
      <c r="E156" s="13" t="s">
        <v>551</v>
      </c>
    </row>
    <row r="157" spans="1:5" ht="14.25" customHeight="1">
      <c r="A157" s="13" t="str">
        <f>C157&amp;D157&amp;E157</f>
        <v>T24CORECUSTOMERKHOI</v>
      </c>
      <c r="B157" s="13" t="s">
        <v>190</v>
      </c>
      <c r="C157" s="13" t="s">
        <v>512</v>
      </c>
      <c r="D157" s="16" t="s">
        <v>513</v>
      </c>
      <c r="E157" s="13" t="s">
        <v>551</v>
      </c>
    </row>
    <row r="158" spans="1:5" ht="14.25" customHeight="1">
      <c r="A158" s="13" t="str">
        <f>C158&amp;D158&amp;E158</f>
        <v>T24CORECUSTOMERKYC_CHANNEL</v>
      </c>
      <c r="B158" s="13" t="s">
        <v>195</v>
      </c>
      <c r="C158" s="18" t="s">
        <v>512</v>
      </c>
      <c r="D158" s="16" t="s">
        <v>513</v>
      </c>
      <c r="E158" s="19" t="s">
        <v>552</v>
      </c>
    </row>
    <row r="159" spans="1:5" ht="14.25" customHeight="1">
      <c r="A159" s="13" t="str">
        <f>C159&amp;D159&amp;E159</f>
        <v>T24CORECUSTOMERMA_BHXH</v>
      </c>
      <c r="B159" s="13" t="s">
        <v>195</v>
      </c>
      <c r="C159" s="18" t="s">
        <v>512</v>
      </c>
      <c r="D159" s="16" t="s">
        <v>513</v>
      </c>
      <c r="E159" s="19" t="s">
        <v>553</v>
      </c>
    </row>
    <row r="160" spans="1:5" ht="14.25" customHeight="1">
      <c r="A160" s="13" t="str">
        <f>C160&amp;D160&amp;E160</f>
        <v>T24CORECUSTOMERMAU_HD</v>
      </c>
      <c r="B160" s="13" t="s">
        <v>195</v>
      </c>
      <c r="C160" s="18" t="s">
        <v>512</v>
      </c>
      <c r="D160" s="16" t="s">
        <v>513</v>
      </c>
      <c r="E160" s="19" t="s">
        <v>554</v>
      </c>
    </row>
    <row r="161" spans="1:5" ht="14.25" customHeight="1">
      <c r="A161" s="13" t="str">
        <f>C161&amp;D161&amp;E161</f>
        <v>T24CORECUSTOMERMB_CR_STT</v>
      </c>
      <c r="B161" s="13" t="s">
        <v>195</v>
      </c>
      <c r="C161" s="18" t="s">
        <v>512</v>
      </c>
      <c r="D161" s="16" t="s">
        <v>513</v>
      </c>
      <c r="E161" s="19" t="s">
        <v>555</v>
      </c>
    </row>
    <row r="162" spans="1:5" ht="14.25" customHeight="1">
      <c r="A162" s="13" t="str">
        <f>C162&amp;D162&amp;E162</f>
        <v>T24CORECUSTOMERMB_INDUSTRY</v>
      </c>
      <c r="B162" s="13" t="s">
        <v>195</v>
      </c>
      <c r="C162" s="18" t="s">
        <v>512</v>
      </c>
      <c r="D162" s="16" t="s">
        <v>513</v>
      </c>
      <c r="E162" s="19" t="s">
        <v>556</v>
      </c>
    </row>
    <row r="163" spans="1:5" ht="14.25" customHeight="1">
      <c r="A163" s="13" t="str">
        <f>C163&amp;D163&amp;E163</f>
        <v>T24CORECUSTOMERMB_INDUSTRY</v>
      </c>
      <c r="B163" s="13" t="s">
        <v>190</v>
      </c>
      <c r="C163" s="13" t="s">
        <v>512</v>
      </c>
      <c r="D163" s="16" t="s">
        <v>513</v>
      </c>
      <c r="E163" s="13" t="s">
        <v>556</v>
      </c>
    </row>
    <row r="164" spans="1:5" ht="14.25" customHeight="1">
      <c r="A164" s="13" t="str">
        <f>C164&amp;D164&amp;E164</f>
        <v>T24CORECUSTOMERMB_RM_BANCHEO</v>
      </c>
      <c r="B164" s="13" t="s">
        <v>195</v>
      </c>
      <c r="C164" s="18" t="s">
        <v>512</v>
      </c>
      <c r="D164" s="16" t="s">
        <v>513</v>
      </c>
      <c r="E164" s="19" t="s">
        <v>557</v>
      </c>
    </row>
    <row r="165" spans="1:5" ht="14.25" customHeight="1">
      <c r="A165" s="13" t="str">
        <f>C165&amp;D165&amp;E165</f>
        <v>T24CORECUSTOMERMOBILE_BANKING_SERVICE</v>
      </c>
      <c r="B165" s="13" t="s">
        <v>195</v>
      </c>
      <c r="C165" s="18" t="s">
        <v>512</v>
      </c>
      <c r="D165" s="16" t="s">
        <v>513</v>
      </c>
      <c r="E165" s="19" t="s">
        <v>558</v>
      </c>
    </row>
    <row r="166" spans="1:5" ht="14.25" customHeight="1">
      <c r="A166" s="13" t="str">
        <f>C166&amp;D166&amp;E166</f>
        <v>T24CORECUSTOMERMOBILE_NUMBER</v>
      </c>
      <c r="B166" s="13" t="s">
        <v>195</v>
      </c>
      <c r="C166" s="18" t="s">
        <v>512</v>
      </c>
      <c r="D166" s="16" t="s">
        <v>513</v>
      </c>
      <c r="E166" s="19" t="s">
        <v>559</v>
      </c>
    </row>
    <row r="167" spans="1:5" ht="14.25" customHeight="1">
      <c r="A167" s="13" t="str">
        <f>C167&amp;D167&amp;E167</f>
        <v>T24CORECUSTOMERMOBILE_NUMBER</v>
      </c>
      <c r="B167" s="13" t="s">
        <v>171</v>
      </c>
      <c r="C167" s="18" t="s">
        <v>512</v>
      </c>
      <c r="D167" s="16" t="s">
        <v>513</v>
      </c>
      <c r="E167" s="13" t="s">
        <v>559</v>
      </c>
    </row>
    <row r="168" spans="1:5" ht="14.25" customHeight="1">
      <c r="A168" s="13" t="str">
        <f>C168&amp;D168&amp;E168</f>
        <v xml:space="preserve">T24CORECUSTOMERNAT_ID_EXP_DATE </v>
      </c>
      <c r="B168" s="13" t="s">
        <v>195</v>
      </c>
      <c r="C168" s="18" t="s">
        <v>512</v>
      </c>
      <c r="D168" s="16" t="s">
        <v>513</v>
      </c>
      <c r="E168" s="19" t="s">
        <v>560</v>
      </c>
    </row>
    <row r="169" spans="1:5" ht="14.25" customHeight="1">
      <c r="A169" s="13" t="str">
        <f>C169&amp;D169&amp;E169</f>
        <v xml:space="preserve">T24CORECUSTOMERNAT_ID_ISS_DATE </v>
      </c>
      <c r="B169" s="13" t="s">
        <v>195</v>
      </c>
      <c r="C169" s="18" t="s">
        <v>512</v>
      </c>
      <c r="D169" s="16" t="s">
        <v>513</v>
      </c>
      <c r="E169" s="18" t="s">
        <v>561</v>
      </c>
    </row>
    <row r="170" spans="1:5" ht="14.25" customHeight="1">
      <c r="A170" s="13" t="str">
        <f>C170&amp;D170&amp;E170</f>
        <v>T24CORECUSTOMERNAT_ID_ISS_PLC</v>
      </c>
      <c r="B170" s="13" t="s">
        <v>195</v>
      </c>
      <c r="C170" s="18" t="s">
        <v>512</v>
      </c>
      <c r="D170" s="16" t="s">
        <v>513</v>
      </c>
      <c r="E170" s="19" t="s">
        <v>562</v>
      </c>
    </row>
    <row r="171" spans="1:5" ht="14.25" customHeight="1">
      <c r="A171" s="13" t="str">
        <f>C171&amp;D171&amp;E171</f>
        <v>T24CORECUSTOMERNAT_ID_TYPE</v>
      </c>
      <c r="B171" s="13" t="s">
        <v>195</v>
      </c>
      <c r="C171" s="18" t="s">
        <v>512</v>
      </c>
      <c r="D171" s="16" t="s">
        <v>513</v>
      </c>
      <c r="E171" s="19" t="s">
        <v>563</v>
      </c>
    </row>
    <row r="172" spans="1:5" ht="14.25" customHeight="1">
      <c r="A172" s="13" t="str">
        <f>C172&amp;D172&amp;E172</f>
        <v>T24CORECUSTOMERNATIONAL_ID</v>
      </c>
      <c r="B172" s="13" t="s">
        <v>195</v>
      </c>
      <c r="C172" s="18" t="s">
        <v>512</v>
      </c>
      <c r="D172" s="16" t="s">
        <v>513</v>
      </c>
      <c r="E172" s="19" t="s">
        <v>564</v>
      </c>
    </row>
    <row r="173" spans="1:5" ht="14.25" customHeight="1">
      <c r="A173" s="13" t="str">
        <f>C173&amp;D173&amp;E173</f>
        <v xml:space="preserve">T24CORECUSTOMERNATIONAL_ID </v>
      </c>
      <c r="B173" s="13" t="s">
        <v>195</v>
      </c>
      <c r="C173" s="18" t="s">
        <v>512</v>
      </c>
      <c r="D173" s="16" t="s">
        <v>513</v>
      </c>
      <c r="E173" s="19" t="s">
        <v>565</v>
      </c>
    </row>
    <row r="174" spans="1:5" ht="14.25" customHeight="1">
      <c r="A174" s="13" t="str">
        <f>C174&amp;D174&amp;E174</f>
        <v>T24CORECUSTOMERNATIONALITY</v>
      </c>
      <c r="B174" s="13" t="s">
        <v>195</v>
      </c>
      <c r="C174" s="18" t="s">
        <v>512</v>
      </c>
      <c r="D174" s="16" t="s">
        <v>513</v>
      </c>
      <c r="E174" s="19" t="s">
        <v>566</v>
      </c>
    </row>
    <row r="175" spans="1:5" ht="14.25" customHeight="1">
      <c r="A175" s="13" t="str">
        <f>C175&amp;D175&amp;E175</f>
        <v>T24CORECUSTOMERNET_MONTHLY_IN</v>
      </c>
      <c r="B175" s="13" t="s">
        <v>195</v>
      </c>
      <c r="C175" s="18" t="s">
        <v>512</v>
      </c>
      <c r="D175" s="16" t="s">
        <v>513</v>
      </c>
      <c r="E175" s="19" t="s">
        <v>567</v>
      </c>
    </row>
    <row r="176" spans="1:5" ht="14.25" customHeight="1">
      <c r="A176" s="13" t="str">
        <f>C176&amp;D176&amp;E176</f>
        <v>T24CORECUSTOMERNO_LIEN_DOI</v>
      </c>
      <c r="B176" s="13" t="s">
        <v>195</v>
      </c>
      <c r="C176" s="18" t="s">
        <v>512</v>
      </c>
      <c r="D176" s="16" t="s">
        <v>513</v>
      </c>
      <c r="E176" s="19" t="s">
        <v>568</v>
      </c>
    </row>
    <row r="177" spans="1:5" ht="14.25" customHeight="1">
      <c r="A177" s="13" t="str">
        <f>C177&amp;D177&amp;E177</f>
        <v>T24CORECUSTOMEROCCUPATION</v>
      </c>
      <c r="B177" s="13" t="s">
        <v>195</v>
      </c>
      <c r="C177" s="18" t="s">
        <v>512</v>
      </c>
      <c r="D177" s="16" t="s">
        <v>513</v>
      </c>
      <c r="E177" s="19" t="s">
        <v>569</v>
      </c>
    </row>
    <row r="178" spans="1:5" ht="14.25" customHeight="1">
      <c r="A178" s="13" t="str">
        <f>C178&amp;D178&amp;E178</f>
        <v>T24CORECUSTOMEROPEN_COMPANY</v>
      </c>
      <c r="B178" s="13" t="s">
        <v>195</v>
      </c>
      <c r="C178" s="18" t="s">
        <v>512</v>
      </c>
      <c r="D178" s="16" t="s">
        <v>513</v>
      </c>
      <c r="E178" s="19" t="s">
        <v>570</v>
      </c>
    </row>
    <row r="179" spans="1:5" ht="14.25" customHeight="1">
      <c r="A179" s="13" t="str">
        <f>C179&amp;D179&amp;E179</f>
        <v xml:space="preserve">T24CORECUSTOMEROPEN_COMPANY </v>
      </c>
      <c r="B179" s="13" t="s">
        <v>195</v>
      </c>
      <c r="C179" s="18" t="s">
        <v>512</v>
      </c>
      <c r="D179" s="16" t="s">
        <v>513</v>
      </c>
      <c r="E179" s="18" t="s">
        <v>571</v>
      </c>
    </row>
    <row r="180" spans="1:5" ht="14.25" customHeight="1">
      <c r="A180" s="13" t="str">
        <f>C180&amp;D180&amp;E180</f>
        <v>T24CORECUSTOMERPHONE_CONT_PER</v>
      </c>
      <c r="B180" s="13" t="s">
        <v>195</v>
      </c>
      <c r="C180" s="18" t="s">
        <v>512</v>
      </c>
      <c r="D180" s="16" t="s">
        <v>513</v>
      </c>
      <c r="E180" s="19" t="s">
        <v>572</v>
      </c>
    </row>
    <row r="181" spans="1:5" ht="14.25" customHeight="1">
      <c r="A181" s="13" t="str">
        <f>C181&amp;D181&amp;E181</f>
        <v>T24CORECUSTOMERRECID</v>
      </c>
      <c r="B181" s="13" t="s">
        <v>166</v>
      </c>
      <c r="C181" s="13" t="s">
        <v>512</v>
      </c>
      <c r="D181" s="16" t="s">
        <v>513</v>
      </c>
      <c r="E181" s="13" t="s">
        <v>490</v>
      </c>
    </row>
    <row r="182" spans="1:5" ht="14.25" customHeight="1">
      <c r="A182" s="13" t="str">
        <f>C182&amp;D182&amp;E182</f>
        <v>T24CORECUSTOMERRECID</v>
      </c>
      <c r="B182" s="13" t="s">
        <v>190</v>
      </c>
      <c r="C182" s="13" t="s">
        <v>512</v>
      </c>
      <c r="D182" s="16" t="s">
        <v>513</v>
      </c>
      <c r="E182" s="13" t="s">
        <v>490</v>
      </c>
    </row>
    <row r="183" spans="1:5" ht="14.25" customHeight="1">
      <c r="A183" s="13" t="str">
        <f>C183&amp;D183&amp;E183</f>
        <v>T24CORECUSTOMERRECID</v>
      </c>
      <c r="B183" s="13" t="s">
        <v>171</v>
      </c>
      <c r="C183" s="18" t="s">
        <v>512</v>
      </c>
      <c r="D183" s="16" t="s">
        <v>513</v>
      </c>
      <c r="E183" s="13" t="s">
        <v>490</v>
      </c>
    </row>
    <row r="184" spans="1:5" ht="14.25" customHeight="1">
      <c r="A184" s="13" t="str">
        <f>C184&amp;D184&amp;E184</f>
        <v xml:space="preserve">T24CORECUSTOMERRECID </v>
      </c>
      <c r="B184" s="13" t="s">
        <v>195</v>
      </c>
      <c r="C184" s="18" t="s">
        <v>512</v>
      </c>
      <c r="D184" s="16" t="s">
        <v>513</v>
      </c>
      <c r="E184" s="18" t="s">
        <v>573</v>
      </c>
    </row>
    <row r="185" spans="1:5" ht="14.25" customHeight="1">
      <c r="A185" s="13" t="str">
        <f>C185&amp;D185&amp;E185</f>
        <v>T24CORECUSTOMERREFERRED_BY</v>
      </c>
      <c r="B185" s="13" t="s">
        <v>195</v>
      </c>
      <c r="C185" s="18" t="s">
        <v>512</v>
      </c>
      <c r="D185" s="16" t="s">
        <v>513</v>
      </c>
      <c r="E185" s="19" t="s">
        <v>574</v>
      </c>
    </row>
    <row r="186" spans="1:5" ht="14.25" customHeight="1">
      <c r="A186" s="13" t="str">
        <f>C186&amp;D186&amp;E186</f>
        <v>T24CORECUSTOMERRESID_PROVINCE</v>
      </c>
      <c r="B186" s="13" t="s">
        <v>195</v>
      </c>
      <c r="C186" s="18" t="s">
        <v>512</v>
      </c>
      <c r="D186" s="16" t="s">
        <v>513</v>
      </c>
      <c r="E186" s="19" t="s">
        <v>575</v>
      </c>
    </row>
    <row r="187" spans="1:5" ht="14.25" customHeight="1">
      <c r="A187" s="13" t="str">
        <f>C187&amp;D187&amp;E187</f>
        <v>T24CORECUSTOMERRESIDENCE</v>
      </c>
      <c r="B187" s="13" t="s">
        <v>195</v>
      </c>
      <c r="C187" s="18" t="s">
        <v>512</v>
      </c>
      <c r="D187" s="16" t="s">
        <v>513</v>
      </c>
      <c r="E187" s="19" t="s">
        <v>576</v>
      </c>
    </row>
    <row r="188" spans="1:5" ht="14.25" customHeight="1">
      <c r="A188" s="13" t="str">
        <f>C188&amp;D188&amp;E188</f>
        <v>T24CORECUSTOMERSECOND_OFFICER</v>
      </c>
      <c r="B188" s="13" t="s">
        <v>195</v>
      </c>
      <c r="C188" s="18" t="s">
        <v>512</v>
      </c>
      <c r="D188" s="16" t="s">
        <v>513</v>
      </c>
      <c r="E188" s="19" t="s">
        <v>577</v>
      </c>
    </row>
    <row r="189" spans="1:5" ht="14.25" customHeight="1">
      <c r="A189" s="13" t="str">
        <f>C189&amp;D189&amp;E189</f>
        <v xml:space="preserve">T24CORECUSTOMERSECOND_OFFICER </v>
      </c>
      <c r="B189" s="13" t="s">
        <v>195</v>
      </c>
      <c r="C189" s="18" t="s">
        <v>512</v>
      </c>
      <c r="D189" s="16" t="s">
        <v>513</v>
      </c>
      <c r="E189" s="19" t="s">
        <v>578</v>
      </c>
    </row>
    <row r="190" spans="1:5" ht="14.25" customHeight="1">
      <c r="A190" s="13" t="str">
        <f>C190&amp;D190&amp;E190</f>
        <v>T24CORECUSTOMERSECTOR</v>
      </c>
      <c r="B190" s="13" t="s">
        <v>195</v>
      </c>
      <c r="C190" s="18" t="s">
        <v>512</v>
      </c>
      <c r="D190" s="16" t="s">
        <v>513</v>
      </c>
      <c r="E190" s="19" t="s">
        <v>579</v>
      </c>
    </row>
    <row r="191" spans="1:5" ht="14.25" customHeight="1">
      <c r="A191" s="13" t="str">
        <f>C191&amp;D191&amp;E191</f>
        <v>T24CORECUSTOMERSECTOR</v>
      </c>
      <c r="B191" s="13" t="s">
        <v>171</v>
      </c>
      <c r="C191" s="18" t="s">
        <v>512</v>
      </c>
      <c r="D191" s="16" t="s">
        <v>513</v>
      </c>
      <c r="E191" s="13" t="s">
        <v>579</v>
      </c>
    </row>
    <row r="192" spans="1:5" ht="14.25" customHeight="1">
      <c r="A192" s="13" t="str">
        <f>C192&amp;D192&amp;E192</f>
        <v>T24CORECUSTOMERSECTOR</v>
      </c>
      <c r="B192" s="13" t="s">
        <v>190</v>
      </c>
      <c r="C192" s="13" t="s">
        <v>512</v>
      </c>
      <c r="D192" s="16" t="s">
        <v>513</v>
      </c>
      <c r="E192" s="13" t="s">
        <v>579</v>
      </c>
    </row>
    <row r="193" spans="1:5" ht="14.25" customHeight="1">
      <c r="A193" s="13" t="str">
        <f>C193&amp;D193&amp;E193</f>
        <v>T24CORECUSTOMERSHORT_NAME</v>
      </c>
      <c r="B193" s="13" t="s">
        <v>195</v>
      </c>
      <c r="C193" s="18" t="s">
        <v>512</v>
      </c>
      <c r="D193" s="16" t="s">
        <v>513</v>
      </c>
      <c r="E193" s="19" t="s">
        <v>580</v>
      </c>
    </row>
    <row r="194" spans="1:5" ht="14.25" customHeight="1">
      <c r="A194" s="13" t="str">
        <f>C194&amp;D194&amp;E194</f>
        <v>T24CORECUSTOMERSTREET</v>
      </c>
      <c r="B194" s="13" t="s">
        <v>195</v>
      </c>
      <c r="C194" s="18" t="s">
        <v>512</v>
      </c>
      <c r="D194" s="16" t="s">
        <v>513</v>
      </c>
      <c r="E194" s="19" t="s">
        <v>581</v>
      </c>
    </row>
    <row r="195" spans="1:5" ht="14.25" customHeight="1">
      <c r="A195" s="13" t="str">
        <f>C195&amp;D195&amp;E195</f>
        <v>T24CORECUSTOMERTARGET</v>
      </c>
      <c r="B195" s="13" t="s">
        <v>195</v>
      </c>
      <c r="C195" s="18" t="s">
        <v>512</v>
      </c>
      <c r="D195" s="16" t="s">
        <v>513</v>
      </c>
      <c r="E195" s="19" t="s">
        <v>582</v>
      </c>
    </row>
    <row r="196" spans="1:5" ht="14.25" customHeight="1">
      <c r="A196" s="13" t="str">
        <f>C196&amp;D196&amp;E196</f>
        <v xml:space="preserve">T24CORECUSTOMERTAX_SERIAL </v>
      </c>
      <c r="B196" s="13" t="s">
        <v>195</v>
      </c>
      <c r="C196" s="18" t="s">
        <v>512</v>
      </c>
      <c r="D196" s="16" t="s">
        <v>513</v>
      </c>
      <c r="E196" s="19" t="s">
        <v>583</v>
      </c>
    </row>
    <row r="197" spans="1:5" ht="14.25" customHeight="1">
      <c r="A197" s="13" t="str">
        <f>C197&amp;D197&amp;E197</f>
        <v>T24CORECUSTOMERTXN_DATE</v>
      </c>
      <c r="B197" s="13" t="s">
        <v>195</v>
      </c>
      <c r="C197" s="18" t="s">
        <v>512</v>
      </c>
      <c r="D197" s="16" t="s">
        <v>513</v>
      </c>
      <c r="E197" s="19" t="s">
        <v>503</v>
      </c>
    </row>
    <row r="198" spans="1:5" ht="14.25" customHeight="1">
      <c r="A198" s="13" t="str">
        <f>C198&amp;D198&amp;E198</f>
        <v xml:space="preserve">T24CORECUSTOMERVAT_INV_DATE </v>
      </c>
      <c r="B198" s="13" t="s">
        <v>195</v>
      </c>
      <c r="C198" s="18" t="s">
        <v>512</v>
      </c>
      <c r="D198" s="16" t="s">
        <v>513</v>
      </c>
      <c r="E198" s="19" t="s">
        <v>584</v>
      </c>
    </row>
    <row r="199" spans="1:5" ht="14.25" customHeight="1">
      <c r="A199" s="13" t="str">
        <f>C199&amp;D199&amp;E199</f>
        <v xml:space="preserve">T24CORECUSTOMERVAT_INV_SERIAL </v>
      </c>
      <c r="B199" s="13" t="s">
        <v>195</v>
      </c>
      <c r="C199" s="18" t="s">
        <v>512</v>
      </c>
      <c r="D199" s="16" t="s">
        <v>513</v>
      </c>
      <c r="E199" s="19" t="s">
        <v>585</v>
      </c>
    </row>
    <row r="200" spans="1:5" ht="14.25" customHeight="1">
      <c r="A200" s="13" t="str">
        <f>C200&amp;D200&amp;E200</f>
        <v>T24CORECUSTOMERVIP_CUSTOMER</v>
      </c>
      <c r="B200" s="13" t="s">
        <v>195</v>
      </c>
      <c r="C200" s="18" t="s">
        <v>512</v>
      </c>
      <c r="D200" s="16" t="s">
        <v>513</v>
      </c>
      <c r="E200" s="19" t="s">
        <v>586</v>
      </c>
    </row>
    <row r="201" spans="1:5" ht="14.25" customHeight="1">
      <c r="A201" s="13" t="str">
        <f>C201&amp;D201&amp;E201</f>
        <v>T24CORECUSTOMERVN_FULL_NAME</v>
      </c>
      <c r="B201" s="13" t="s">
        <v>195</v>
      </c>
      <c r="C201" s="18" t="s">
        <v>512</v>
      </c>
      <c r="D201" s="16" t="s">
        <v>513</v>
      </c>
      <c r="E201" s="19" t="s">
        <v>587</v>
      </c>
    </row>
    <row r="202" spans="1:5" ht="14.25" customHeight="1">
      <c r="A202" s="13" t="str">
        <f>C202&amp;D202&amp;E202</f>
        <v>T24CORECUSTOMERVN_FULL_NAME</v>
      </c>
      <c r="B202" s="13" t="s">
        <v>166</v>
      </c>
      <c r="C202" s="13" t="s">
        <v>512</v>
      </c>
      <c r="D202" s="16" t="s">
        <v>513</v>
      </c>
      <c r="E202" s="13" t="s">
        <v>587</v>
      </c>
    </row>
    <row r="203" spans="1:5" ht="14.25" customHeight="1">
      <c r="A203" s="13" t="str">
        <f>C203&amp;D203&amp;E203</f>
        <v>T24CORECUSTOMERVN_FULL_NAME</v>
      </c>
      <c r="B203" s="13" t="s">
        <v>171</v>
      </c>
      <c r="C203" s="20" t="s">
        <v>512</v>
      </c>
      <c r="D203" s="17" t="s">
        <v>513</v>
      </c>
      <c r="E203" s="13" t="s">
        <v>587</v>
      </c>
    </row>
    <row r="204" spans="1:5" ht="14.25" customHeight="1">
      <c r="A204" s="13" t="str">
        <f>C204&amp;D204&amp;E204</f>
        <v>T24CORECUSTOMERVN_FULL_NAME</v>
      </c>
      <c r="B204" s="13" t="s">
        <v>190</v>
      </c>
      <c r="C204" s="13" t="s">
        <v>512</v>
      </c>
      <c r="D204" s="16" t="s">
        <v>513</v>
      </c>
      <c r="E204" s="13" t="s">
        <v>587</v>
      </c>
    </row>
    <row r="205" spans="1:5" ht="14.25" customHeight="1">
      <c r="A205" s="13" t="str">
        <f>C205&amp;D205&amp;E205</f>
        <v xml:space="preserve">T24CORECUSTOMERVN_GENDER </v>
      </c>
      <c r="B205" s="13" t="s">
        <v>195</v>
      </c>
      <c r="C205" s="18" t="s">
        <v>512</v>
      </c>
      <c r="D205" s="16" t="s">
        <v>513</v>
      </c>
      <c r="E205" s="19" t="s">
        <v>588</v>
      </c>
    </row>
    <row r="206" spans="1:5" ht="14.25" customHeight="1">
      <c r="A206" s="13" t="str">
        <f>C206&amp;D206&amp;E206</f>
        <v>T24CORECUSTOMERVN_STREET</v>
      </c>
      <c r="B206" s="13" t="s">
        <v>195</v>
      </c>
      <c r="C206" s="18" t="s">
        <v>512</v>
      </c>
      <c r="D206" s="16" t="s">
        <v>513</v>
      </c>
      <c r="E206" s="19" t="s">
        <v>589</v>
      </c>
    </row>
    <row r="207" spans="1:5" ht="14.25" customHeight="1">
      <c r="A207" s="13" t="str">
        <f>C207&amp;D207&amp;E207</f>
        <v>T24CORECUSTOMERVN_TOWN</v>
      </c>
      <c r="B207" s="13" t="s">
        <v>195</v>
      </c>
      <c r="C207" s="18" t="s">
        <v>512</v>
      </c>
      <c r="D207" s="16" t="s">
        <v>513</v>
      </c>
      <c r="E207" s="19" t="s">
        <v>590</v>
      </c>
    </row>
    <row r="208" spans="1:5" ht="14.25" customHeight="1">
      <c r="A208" s="13" t="str">
        <f>C208&amp;D208&amp;E208</f>
        <v>T24COREDEPT_ACCT_OFFICERNAME</v>
      </c>
      <c r="B208" s="13" t="s">
        <v>171</v>
      </c>
      <c r="C208" s="20" t="s">
        <v>512</v>
      </c>
      <c r="D208" s="17" t="s">
        <v>591</v>
      </c>
      <c r="E208" s="13" t="s">
        <v>592</v>
      </c>
    </row>
    <row r="209" spans="1:5" ht="14.25" customHeight="1">
      <c r="A209" s="13" t="str">
        <f>C209&amp;D209&amp;E209</f>
        <v>T24COREDEPT_ACCT_OFFICERRECID</v>
      </c>
      <c r="B209" s="13" t="s">
        <v>171</v>
      </c>
      <c r="C209" s="18" t="s">
        <v>512</v>
      </c>
      <c r="D209" s="16" t="s">
        <v>591</v>
      </c>
      <c r="E209" s="13" t="s">
        <v>490</v>
      </c>
    </row>
    <row r="210" spans="1:5" ht="14.25" customHeight="1">
      <c r="A210" s="13" t="str">
        <f>C210&amp;D210&amp;E210</f>
        <v>T24CORELD_LOANS_AND_DEPOSITSACC_FCC</v>
      </c>
      <c r="B210" s="13" t="s">
        <v>166</v>
      </c>
      <c r="C210" s="13" t="s">
        <v>512</v>
      </c>
      <c r="D210" s="16" t="s">
        <v>593</v>
      </c>
      <c r="E210" s="13" t="s">
        <v>507</v>
      </c>
    </row>
    <row r="211" spans="1:5" ht="14.25" customHeight="1">
      <c r="A211" s="13" t="str">
        <f>C211&amp;D211&amp;E211</f>
        <v>T24CORELD_LOANS_AND_DEPOSITSACC_FCC</v>
      </c>
      <c r="B211" s="13" t="s">
        <v>171</v>
      </c>
      <c r="C211" s="18" t="s">
        <v>512</v>
      </c>
      <c r="D211" s="16" t="s">
        <v>593</v>
      </c>
      <c r="E211" s="13" t="s">
        <v>507</v>
      </c>
    </row>
    <row r="212" spans="1:5" ht="14.25" customHeight="1">
      <c r="A212" s="13" t="str">
        <f>C212&amp;D212&amp;E212</f>
        <v>T24CORELD_LOANS_AND_DEPOSITSAMOUNT</v>
      </c>
      <c r="B212" s="13" t="s">
        <v>171</v>
      </c>
      <c r="C212" s="20" t="s">
        <v>512</v>
      </c>
      <c r="D212" s="17" t="s">
        <v>593</v>
      </c>
      <c r="E212" s="13" t="s">
        <v>594</v>
      </c>
    </row>
    <row r="213" spans="1:5" ht="14.25" customHeight="1">
      <c r="A213" s="13" t="str">
        <f>C213&amp;D213&amp;E213</f>
        <v>T24CORELD_LOANS_AND_DEPOSITSAPPROVE_AMOUNT</v>
      </c>
      <c r="B213" s="13" t="s">
        <v>166</v>
      </c>
      <c r="C213" s="13" t="s">
        <v>512</v>
      </c>
      <c r="D213" s="16" t="s">
        <v>593</v>
      </c>
      <c r="E213" s="13" t="s">
        <v>595</v>
      </c>
    </row>
    <row r="214" spans="1:5" ht="14.25" customHeight="1">
      <c r="A214" s="13" t="str">
        <f>C214&amp;D214&amp;E214</f>
        <v>T24CORELD_LOANS_AND_DEPOSITSAPPROVE_AMOUNT</v>
      </c>
      <c r="B214" s="13" t="s">
        <v>171</v>
      </c>
      <c r="C214" s="18" t="s">
        <v>512</v>
      </c>
      <c r="D214" s="16" t="s">
        <v>593</v>
      </c>
      <c r="E214" s="13" t="s">
        <v>595</v>
      </c>
    </row>
    <row r="215" spans="1:5" ht="14.25" customHeight="1">
      <c r="A215" s="13" t="str">
        <f>C215&amp;D215&amp;E215</f>
        <v>T24CORELD_LOANS_AND_DEPOSITSAUTHORISER</v>
      </c>
      <c r="B215" s="13" t="s">
        <v>190</v>
      </c>
      <c r="C215" s="258" t="s">
        <v>512</v>
      </c>
      <c r="D215" s="16" t="s">
        <v>593</v>
      </c>
      <c r="E215" s="13" t="s">
        <v>596</v>
      </c>
    </row>
    <row r="216" spans="1:5" ht="14.25" customHeight="1">
      <c r="A216" s="13" t="str">
        <f>C216&amp;D216&amp;E216</f>
        <v>T24CORELD_LOANS_AND_DEPOSITSCATEGORY</v>
      </c>
      <c r="B216" s="13" t="s">
        <v>166</v>
      </c>
      <c r="C216" s="258" t="s">
        <v>512</v>
      </c>
      <c r="D216" s="16" t="s">
        <v>593</v>
      </c>
      <c r="E216" s="13" t="s">
        <v>597</v>
      </c>
    </row>
    <row r="217" spans="1:5" ht="14.25" customHeight="1">
      <c r="A217" s="13" t="str">
        <f>C217&amp;D217&amp;E217</f>
        <v>T24CORELD_LOANS_AND_DEPOSITSCATEGORY</v>
      </c>
      <c r="B217" s="13" t="s">
        <v>171</v>
      </c>
      <c r="C217" s="16" t="s">
        <v>512</v>
      </c>
      <c r="D217" s="16" t="s">
        <v>593</v>
      </c>
      <c r="E217" s="13" t="s">
        <v>597</v>
      </c>
    </row>
    <row r="218" spans="1:5" ht="14.25" customHeight="1">
      <c r="A218" s="13" t="str">
        <f>C218&amp;D218&amp;E218</f>
        <v>T24CORELD_LOANS_AND_DEPOSITSCO_CODE</v>
      </c>
      <c r="B218" s="13" t="s">
        <v>166</v>
      </c>
      <c r="C218" s="258" t="s">
        <v>512</v>
      </c>
      <c r="D218" s="16" t="s">
        <v>593</v>
      </c>
      <c r="E218" s="13" t="s">
        <v>460</v>
      </c>
    </row>
    <row r="219" spans="1:5" ht="14.25" customHeight="1">
      <c r="A219" s="13" t="str">
        <f>C219&amp;D219&amp;E219</f>
        <v>T24CORELD_LOANS_AND_DEPOSITSCO_CODE</v>
      </c>
      <c r="B219" s="13" t="s">
        <v>171</v>
      </c>
      <c r="C219" s="16" t="s">
        <v>512</v>
      </c>
      <c r="D219" s="16" t="s">
        <v>593</v>
      </c>
      <c r="E219" s="13" t="s">
        <v>460</v>
      </c>
    </row>
    <row r="220" spans="1:5" ht="14.25" customHeight="1">
      <c r="A220" s="13" t="str">
        <f>C220&amp;D220&amp;E220</f>
        <v>T24CORELD_LOANS_AND_DEPOSITSCOMMIT_ACTION</v>
      </c>
      <c r="B220" s="13" t="s">
        <v>166</v>
      </c>
      <c r="C220" s="258" t="s">
        <v>512</v>
      </c>
      <c r="D220" s="16" t="s">
        <v>593</v>
      </c>
      <c r="E220" s="13" t="s">
        <v>461</v>
      </c>
    </row>
    <row r="221" spans="1:5" ht="14.25" customHeight="1">
      <c r="A221" s="13" t="str">
        <f>C221&amp;D221&amp;E221</f>
        <v>T24CORELD_LOANS_AND_DEPOSITSCOMMIT_ACTION</v>
      </c>
      <c r="B221" s="13" t="s">
        <v>171</v>
      </c>
      <c r="C221" s="16" t="s">
        <v>512</v>
      </c>
      <c r="D221" s="16" t="s">
        <v>593</v>
      </c>
      <c r="E221" s="13" t="s">
        <v>461</v>
      </c>
    </row>
    <row r="222" spans="1:5" ht="14.25" customHeight="1">
      <c r="A222" s="13" t="str">
        <f>C222&amp;D222&amp;E222</f>
        <v>T24CORELD_LOANS_AND_DEPOSITSCRA_LD</v>
      </c>
      <c r="B222" s="13" t="s">
        <v>171</v>
      </c>
      <c r="C222" s="16" t="s">
        <v>512</v>
      </c>
      <c r="D222" s="16" t="s">
        <v>593</v>
      </c>
      <c r="E222" s="13" t="s">
        <v>598</v>
      </c>
    </row>
    <row r="223" spans="1:5" ht="14.25" customHeight="1">
      <c r="A223" s="13" t="str">
        <f>C223&amp;D223&amp;E223</f>
        <v>T24CORELD_LOANS_AND_DEPOSITSCRA_LD</v>
      </c>
      <c r="B223" s="13" t="s">
        <v>190</v>
      </c>
      <c r="C223" s="258" t="s">
        <v>512</v>
      </c>
      <c r="D223" s="16" t="s">
        <v>593</v>
      </c>
      <c r="E223" s="13" t="s">
        <v>598</v>
      </c>
    </row>
    <row r="224" spans="1:5" ht="14.25" customHeight="1">
      <c r="A224" s="13" t="str">
        <f>C224&amp;D224&amp;E224</f>
        <v>T24CORELD_LOANS_AND_DEPOSITSCURR_NO</v>
      </c>
      <c r="B224" s="13" t="s">
        <v>171</v>
      </c>
      <c r="C224" s="16" t="s">
        <v>512</v>
      </c>
      <c r="D224" s="16" t="s">
        <v>593</v>
      </c>
      <c r="E224" s="13" t="s">
        <v>468</v>
      </c>
    </row>
    <row r="225" spans="1:5" ht="14.25" customHeight="1">
      <c r="A225" s="13" t="str">
        <f>C225&amp;D225&amp;E225</f>
        <v xml:space="preserve">T24CORELD_LOANS_AND_DEPOSITSCURR_NO </v>
      </c>
      <c r="B225" s="13" t="s">
        <v>166</v>
      </c>
      <c r="C225" s="258" t="s">
        <v>512</v>
      </c>
      <c r="D225" s="16" t="s">
        <v>593</v>
      </c>
      <c r="E225" s="13" t="s">
        <v>599</v>
      </c>
    </row>
    <row r="226" spans="1:5" ht="14.25" customHeight="1">
      <c r="A226" s="13" t="str">
        <f>C226&amp;D226&amp;E226</f>
        <v>T24CORELD_LOANS_AND_DEPOSITSCURRENCY</v>
      </c>
      <c r="B226" s="13" t="s">
        <v>171</v>
      </c>
      <c r="C226" s="16" t="s">
        <v>512</v>
      </c>
      <c r="D226" s="16" t="s">
        <v>593</v>
      </c>
      <c r="E226" s="13" t="s">
        <v>469</v>
      </c>
    </row>
    <row r="227" spans="1:5" ht="14.25" customHeight="1">
      <c r="A227" s="13" t="str">
        <f>C227&amp;D227&amp;E227</f>
        <v>T24CORELD_LOANS_AND_DEPOSITSCUSTOMER_ID</v>
      </c>
      <c r="B227" s="13" t="s">
        <v>166</v>
      </c>
      <c r="C227" s="258" t="s">
        <v>512</v>
      </c>
      <c r="D227" s="16" t="s">
        <v>593</v>
      </c>
      <c r="E227" s="13" t="s">
        <v>470</v>
      </c>
    </row>
    <row r="228" spans="1:5" ht="14.25" customHeight="1">
      <c r="A228" s="13" t="str">
        <f>C228&amp;D228&amp;E228</f>
        <v>T24CORELD_LOANS_AND_DEPOSITSCUSTOMER_ID</v>
      </c>
      <c r="B228" s="13" t="s">
        <v>171</v>
      </c>
      <c r="C228" s="16" t="s">
        <v>512</v>
      </c>
      <c r="D228" s="16" t="s">
        <v>593</v>
      </c>
      <c r="E228" s="13" t="s">
        <v>470</v>
      </c>
    </row>
    <row r="229" spans="1:5" ht="14.25" customHeight="1">
      <c r="A229" s="13" t="str">
        <f>C229&amp;D229&amp;E229</f>
        <v>T24CORELD_LOANS_AND_DEPOSITSDATE_TIME</v>
      </c>
      <c r="B229" s="13" t="s">
        <v>166</v>
      </c>
      <c r="C229" s="258" t="s">
        <v>512</v>
      </c>
      <c r="D229" s="16" t="s">
        <v>593</v>
      </c>
      <c r="E229" s="13" t="s">
        <v>472</v>
      </c>
    </row>
    <row r="230" spans="1:5" ht="14.25" customHeight="1">
      <c r="A230" s="13" t="str">
        <f>C230&amp;D230&amp;E230</f>
        <v>T24CORELD_LOANS_AND_DEPOSITSDATE_TIME</v>
      </c>
      <c r="B230" s="13" t="s">
        <v>171</v>
      </c>
      <c r="C230" s="16" t="s">
        <v>512</v>
      </c>
      <c r="D230" s="16" t="s">
        <v>593</v>
      </c>
      <c r="E230" s="13" t="s">
        <v>472</v>
      </c>
    </row>
    <row r="231" spans="1:5" ht="14.25" customHeight="1">
      <c r="A231" s="13" t="str">
        <f>C231&amp;D231&amp;E231</f>
        <v>T24CORELD_LOANS_AND_DEPOSITSDRAWDOWN_NET_AMT</v>
      </c>
      <c r="B231" s="13" t="s">
        <v>166</v>
      </c>
      <c r="C231" s="258" t="s">
        <v>512</v>
      </c>
      <c r="D231" s="16" t="s">
        <v>593</v>
      </c>
      <c r="E231" s="13" t="s">
        <v>600</v>
      </c>
    </row>
    <row r="232" spans="1:5" ht="14.25" customHeight="1">
      <c r="A232" s="13" t="str">
        <f>C232&amp;D232&amp;E232</f>
        <v>T24CORELD_LOANS_AND_DEPOSITSDRAWDOWN_NET_AMT</v>
      </c>
      <c r="B232" s="13" t="s">
        <v>171</v>
      </c>
      <c r="C232" s="16" t="s">
        <v>512</v>
      </c>
      <c r="D232" s="16" t="s">
        <v>593</v>
      </c>
      <c r="E232" s="13" t="s">
        <v>600</v>
      </c>
    </row>
    <row r="233" spans="1:5" ht="14.25" customHeight="1">
      <c r="A233" s="13" t="str">
        <f>C233&amp;D233&amp;E233</f>
        <v>T24CORELD_LOANS_AND_DEPOSITSEXCG_RATE</v>
      </c>
      <c r="B233" s="13" t="s">
        <v>171</v>
      </c>
      <c r="C233" s="16" t="s">
        <v>512</v>
      </c>
      <c r="D233" s="16" t="s">
        <v>593</v>
      </c>
      <c r="E233" s="13" t="s">
        <v>601</v>
      </c>
    </row>
    <row r="234" spans="1:5" ht="14.25" customHeight="1">
      <c r="A234" s="13" t="str">
        <f>C234&amp;D234&amp;E234</f>
        <v>T24CORELD_LOANS_AND_DEPOSITSFCC_LIMIT</v>
      </c>
      <c r="B234" s="13" t="s">
        <v>190</v>
      </c>
      <c r="C234" s="258" t="s">
        <v>512</v>
      </c>
      <c r="D234" s="16" t="s">
        <v>593</v>
      </c>
      <c r="E234" s="13" t="s">
        <v>602</v>
      </c>
    </row>
    <row r="235" spans="1:5" ht="14.25" customHeight="1">
      <c r="A235" s="13" t="str">
        <f>C235&amp;D235&amp;E235</f>
        <v>T24CORELD_LOANS_AND_DEPOSITSFIN_MAT_DATE</v>
      </c>
      <c r="B235" s="13" t="s">
        <v>166</v>
      </c>
      <c r="C235" s="258" t="s">
        <v>512</v>
      </c>
      <c r="D235" s="16" t="s">
        <v>593</v>
      </c>
      <c r="E235" s="13" t="s">
        <v>603</v>
      </c>
    </row>
    <row r="236" spans="1:5" ht="14.25" customHeight="1">
      <c r="A236" s="13" t="str">
        <f>C236&amp;D236&amp;E236</f>
        <v>T24CORELD_LOANS_AND_DEPOSITSFIN_MAT_DATE</v>
      </c>
      <c r="B236" s="13" t="s">
        <v>171</v>
      </c>
      <c r="C236" s="16" t="s">
        <v>512</v>
      </c>
      <c r="D236" s="16" t="s">
        <v>593</v>
      </c>
      <c r="E236" s="13" t="s">
        <v>603</v>
      </c>
    </row>
    <row r="237" spans="1:5" ht="14.25" customHeight="1">
      <c r="A237" s="13" t="str">
        <f>C237&amp;D237&amp;E237</f>
        <v>T24CORELD_LOANS_AND_DEPOSITSID</v>
      </c>
      <c r="B237" s="13" t="s">
        <v>166</v>
      </c>
      <c r="C237" s="258" t="s">
        <v>512</v>
      </c>
      <c r="D237" s="16" t="s">
        <v>593</v>
      </c>
      <c r="E237" s="13" t="s">
        <v>439</v>
      </c>
    </row>
    <row r="238" spans="1:5" ht="14.25" customHeight="1">
      <c r="A238" s="13" t="str">
        <f>C238&amp;D238&amp;E238</f>
        <v>T24CORELD_LOANS_AND_DEPOSITSINPUTTER</v>
      </c>
      <c r="B238" s="13" t="s">
        <v>190</v>
      </c>
      <c r="C238" s="258" t="s">
        <v>512</v>
      </c>
      <c r="D238" s="16" t="s">
        <v>593</v>
      </c>
      <c r="E238" s="13" t="s">
        <v>604</v>
      </c>
    </row>
    <row r="239" spans="1:5" ht="14.25" customHeight="1">
      <c r="A239" s="13" t="str">
        <f>C239&amp;D239&amp;E239</f>
        <v>T24CORELD_LOANS_AND_DEPOSITSINT_LIQ_ACCT</v>
      </c>
      <c r="B239" s="13" t="s">
        <v>166</v>
      </c>
      <c r="C239" s="258" t="s">
        <v>512</v>
      </c>
      <c r="D239" s="16" t="s">
        <v>593</v>
      </c>
      <c r="E239" s="13" t="s">
        <v>605</v>
      </c>
    </row>
    <row r="240" spans="1:5" ht="14.25" customHeight="1">
      <c r="A240" s="13" t="str">
        <f>C240&amp;D240&amp;E240</f>
        <v>T24CORELD_LOANS_AND_DEPOSITSINT_LIQ_ACCT</v>
      </c>
      <c r="B240" s="13" t="s">
        <v>190</v>
      </c>
      <c r="C240" s="258" t="s">
        <v>512</v>
      </c>
      <c r="D240" s="16" t="s">
        <v>593</v>
      </c>
      <c r="E240" s="13" t="s">
        <v>605</v>
      </c>
    </row>
    <row r="241" spans="1:5" ht="14.25" customHeight="1">
      <c r="A241" s="13" t="str">
        <f>C241&amp;D241&amp;E241</f>
        <v>T24CORELD_LOANS_AND_DEPOSITSINT_LIQ_ACCT</v>
      </c>
      <c r="B241" s="13" t="s">
        <v>171</v>
      </c>
      <c r="C241" s="16" t="s">
        <v>512</v>
      </c>
      <c r="D241" s="16" t="s">
        <v>593</v>
      </c>
      <c r="E241" s="13" t="s">
        <v>605</v>
      </c>
    </row>
    <row r="242" spans="1:5" ht="14.25" customHeight="1">
      <c r="A242" s="13" t="str">
        <f>C242&amp;D242&amp;E242</f>
        <v>T24CORELD_LOANS_AND_DEPOSITSINT_RATE_TYPE</v>
      </c>
      <c r="B242" s="13" t="s">
        <v>166</v>
      </c>
      <c r="C242" s="258" t="s">
        <v>512</v>
      </c>
      <c r="D242" s="16" t="s">
        <v>593</v>
      </c>
      <c r="E242" s="13" t="s">
        <v>606</v>
      </c>
    </row>
    <row r="243" spans="1:5" ht="14.25" customHeight="1">
      <c r="A243" s="13" t="str">
        <f>C243&amp;D243&amp;E243</f>
        <v>T24CORELD_LOANS_AND_DEPOSITSINT_RATE_TYPE</v>
      </c>
      <c r="B243" s="13" t="s">
        <v>171</v>
      </c>
      <c r="C243" s="16" t="s">
        <v>512</v>
      </c>
      <c r="D243" s="16" t="s">
        <v>593</v>
      </c>
      <c r="E243" s="13" t="s">
        <v>606</v>
      </c>
    </row>
    <row r="244" spans="1:5" ht="14.25" customHeight="1">
      <c r="A244" s="13" t="str">
        <f>C244&amp;D244&amp;E244</f>
        <v>T24CORELD_LOANS_AND_DEPOSITSINT_VALUE_DATE</v>
      </c>
      <c r="B244" s="13" t="s">
        <v>171</v>
      </c>
      <c r="C244" s="16" t="s">
        <v>512</v>
      </c>
      <c r="D244" s="16" t="s">
        <v>593</v>
      </c>
      <c r="E244" s="13" t="s">
        <v>607</v>
      </c>
    </row>
    <row r="245" spans="1:5" ht="14.25" customHeight="1">
      <c r="A245" s="13" t="str">
        <f>C245&amp;D245&amp;E245</f>
        <v>T24CORELD_LOANS_AND_DEPOSITSINTEREST_RATE</v>
      </c>
      <c r="B245" s="13" t="s">
        <v>166</v>
      </c>
      <c r="C245" s="258" t="s">
        <v>512</v>
      </c>
      <c r="D245" s="16" t="s">
        <v>593</v>
      </c>
      <c r="E245" s="13" t="s">
        <v>608</v>
      </c>
    </row>
    <row r="246" spans="1:5" ht="14.25" customHeight="1">
      <c r="A246" s="13" t="str">
        <f>C246&amp;D246&amp;E246</f>
        <v>T24CORELD_LOANS_AND_DEPOSITSINTEREST_RATE</v>
      </c>
      <c r="B246" s="13" t="s">
        <v>171</v>
      </c>
      <c r="C246" s="16" t="s">
        <v>512</v>
      </c>
      <c r="D246" s="16" t="s">
        <v>593</v>
      </c>
      <c r="E246" s="13" t="s">
        <v>608</v>
      </c>
    </row>
    <row r="247" spans="1:5" ht="14.25" customHeight="1">
      <c r="A247" s="13" t="str">
        <f>C247&amp;D247&amp;E247</f>
        <v>T24CORELD_LOANS_AND_DEPOSITSINTEREST_SPREAD</v>
      </c>
      <c r="B247" s="13" t="s">
        <v>166</v>
      </c>
      <c r="C247" s="258" t="s">
        <v>512</v>
      </c>
      <c r="D247" s="16" t="s">
        <v>593</v>
      </c>
      <c r="E247" s="13" t="s">
        <v>609</v>
      </c>
    </row>
    <row r="248" spans="1:5" ht="14.25" customHeight="1">
      <c r="A248" s="13" t="str">
        <f>C248&amp;D248&amp;E248</f>
        <v>T24CORELD_LOANS_AND_DEPOSITSINTEREST_SPREAD</v>
      </c>
      <c r="B248" s="13" t="s">
        <v>171</v>
      </c>
      <c r="C248" s="16" t="s">
        <v>512</v>
      </c>
      <c r="D248" s="16" t="s">
        <v>593</v>
      </c>
      <c r="E248" s="13" t="s">
        <v>609</v>
      </c>
    </row>
    <row r="249" spans="1:5" ht="14.25" customHeight="1">
      <c r="A249" s="13" t="str">
        <f>C249&amp;D249&amp;E249</f>
        <v>T24CORELD_LOANS_AND_DEPOSITSLIMIT_REFERENCE</v>
      </c>
      <c r="B249" s="13" t="s">
        <v>190</v>
      </c>
      <c r="C249" s="258" t="s">
        <v>512</v>
      </c>
      <c r="D249" s="16" t="s">
        <v>593</v>
      </c>
      <c r="E249" s="13" t="s">
        <v>610</v>
      </c>
    </row>
    <row r="250" spans="1:5" ht="14.25" customHeight="1">
      <c r="A250" s="13" t="str">
        <f>C250&amp;D250&amp;E250</f>
        <v>T24CORELD_LOANS_AND_DEPOSITSLOC_TERM</v>
      </c>
      <c r="B250" s="13" t="s">
        <v>171</v>
      </c>
      <c r="C250" s="16" t="s">
        <v>512</v>
      </c>
      <c r="D250" s="16" t="s">
        <v>593</v>
      </c>
      <c r="E250" s="13" t="s">
        <v>520</v>
      </c>
    </row>
    <row r="251" spans="1:5" ht="14.25" customHeight="1">
      <c r="A251" s="13" t="str">
        <f>C251&amp;D251&amp;E251</f>
        <v>T24CORELD_LOANS_AND_DEPOSITSLOS_FAC_CODE</v>
      </c>
      <c r="B251" s="13" t="s">
        <v>190</v>
      </c>
      <c r="C251" s="258" t="s">
        <v>512</v>
      </c>
      <c r="D251" s="16" t="s">
        <v>593</v>
      </c>
      <c r="E251" s="13" t="s">
        <v>611</v>
      </c>
    </row>
    <row r="252" spans="1:5" ht="14.25" customHeight="1">
      <c r="A252" s="13" t="str">
        <f>C252&amp;D252&amp;E252</f>
        <v>T24CORELD_LOANS_AND_DEPOSITSMB_RM_BANCHEO</v>
      </c>
      <c r="B252" s="13" t="s">
        <v>171</v>
      </c>
      <c r="C252" s="16" t="s">
        <v>512</v>
      </c>
      <c r="D252" s="16" t="s">
        <v>593</v>
      </c>
      <c r="E252" s="13" t="s">
        <v>557</v>
      </c>
    </row>
    <row r="253" spans="1:5" ht="14.25" customHeight="1">
      <c r="A253" s="13" t="str">
        <f>C253&amp;D253&amp;E253</f>
        <v>T24CORELD_LOANS_AND_DEPOSITSORIG_VAL_DATE</v>
      </c>
      <c r="B253" s="13" t="s">
        <v>166</v>
      </c>
      <c r="C253" s="258" t="s">
        <v>512</v>
      </c>
      <c r="D253" s="16" t="s">
        <v>593</v>
      </c>
      <c r="E253" s="13" t="s">
        <v>612</v>
      </c>
    </row>
    <row r="254" spans="1:5" ht="14.25" customHeight="1">
      <c r="A254" s="13" t="str">
        <f>C254&amp;D254&amp;E254</f>
        <v>T24CORELD_LOANS_AND_DEPOSITSORIG_VAL_DATE</v>
      </c>
      <c r="B254" s="13" t="s">
        <v>171</v>
      </c>
      <c r="C254" s="16" t="s">
        <v>512</v>
      </c>
      <c r="D254" s="16" t="s">
        <v>593</v>
      </c>
      <c r="E254" s="13" t="s">
        <v>612</v>
      </c>
    </row>
    <row r="255" spans="1:5" ht="14.25" customHeight="1">
      <c r="A255" s="13" t="str">
        <f>C255&amp;D255&amp;E255</f>
        <v>T24CORELD_LOANS_AND_DEPOSITSPE_RATE</v>
      </c>
      <c r="B255" s="13" t="s">
        <v>190</v>
      </c>
      <c r="C255" s="258" t="s">
        <v>512</v>
      </c>
      <c r="D255" s="16" t="s">
        <v>593</v>
      </c>
      <c r="E255" s="13" t="s">
        <v>613</v>
      </c>
    </row>
    <row r="256" spans="1:5" ht="14.25" customHeight="1">
      <c r="A256" s="13" t="str">
        <f>C256&amp;D256&amp;E256</f>
        <v>T24CORELD_LOANS_AND_DEPOSITSPRIN_LIQ_ACCT</v>
      </c>
      <c r="B256" s="13" t="s">
        <v>166</v>
      </c>
      <c r="C256" s="258" t="s">
        <v>512</v>
      </c>
      <c r="D256" s="16" t="s">
        <v>593</v>
      </c>
      <c r="E256" s="13" t="s">
        <v>614</v>
      </c>
    </row>
    <row r="257" spans="1:5" ht="14.25" customHeight="1">
      <c r="A257" s="13" t="str">
        <f>C257&amp;D257&amp;E257</f>
        <v>T24CORELD_LOANS_AND_DEPOSITSPRIN_LIQ_ACCT</v>
      </c>
      <c r="B257" s="13" t="s">
        <v>171</v>
      </c>
      <c r="C257" s="16" t="s">
        <v>512</v>
      </c>
      <c r="D257" s="16" t="s">
        <v>593</v>
      </c>
      <c r="E257" s="13" t="s">
        <v>614</v>
      </c>
    </row>
    <row r="258" spans="1:5" ht="14.25" customHeight="1">
      <c r="A258" s="13" t="str">
        <f>C258&amp;D258&amp;E258</f>
        <v>T24CORELD_LOANS_AND_DEPOSITSPRODUCTGR_CODE</v>
      </c>
      <c r="B258" s="13" t="s">
        <v>190</v>
      </c>
      <c r="C258" s="258" t="s">
        <v>512</v>
      </c>
      <c r="D258" s="16" t="s">
        <v>593</v>
      </c>
      <c r="E258" s="13" t="s">
        <v>615</v>
      </c>
    </row>
    <row r="259" spans="1:5" ht="14.25" customHeight="1">
      <c r="A259" s="13" t="str">
        <f>C259&amp;D259&amp;E259</f>
        <v>T24CORELD_LOANS_AND_DEPOSITSPS_RATE</v>
      </c>
      <c r="B259" s="13" t="s">
        <v>190</v>
      </c>
      <c r="C259" s="258" t="s">
        <v>512</v>
      </c>
      <c r="D259" s="16" t="s">
        <v>593</v>
      </c>
      <c r="E259" s="13" t="s">
        <v>616</v>
      </c>
    </row>
    <row r="260" spans="1:5" ht="14.25" customHeight="1">
      <c r="A260" s="13" t="str">
        <f>C260&amp;D260&amp;E260</f>
        <v>T24CORELD_LOANS_AND_DEPOSITSREAL_RATE</v>
      </c>
      <c r="B260" s="13" t="s">
        <v>166</v>
      </c>
      <c r="C260" s="258" t="s">
        <v>512</v>
      </c>
      <c r="D260" s="16" t="s">
        <v>593</v>
      </c>
      <c r="E260" s="13" t="s">
        <v>617</v>
      </c>
    </row>
    <row r="261" spans="1:5" ht="14.25" customHeight="1">
      <c r="A261" s="13" t="str">
        <f>C261&amp;D261&amp;E261</f>
        <v>T24CORELD_LOANS_AND_DEPOSITSREAL_RATE</v>
      </c>
      <c r="B261" s="13" t="s">
        <v>171</v>
      </c>
      <c r="C261" s="16" t="s">
        <v>512</v>
      </c>
      <c r="D261" s="16" t="s">
        <v>593</v>
      </c>
      <c r="E261" s="13" t="s">
        <v>617</v>
      </c>
    </row>
    <row r="262" spans="1:5" ht="14.25" customHeight="1">
      <c r="A262" s="13" t="str">
        <f>C262&amp;D262&amp;E262</f>
        <v>T24CORELD_LOANS_AND_DEPOSITSRECID</v>
      </c>
      <c r="B262" s="13" t="s">
        <v>190</v>
      </c>
      <c r="C262" s="258" t="s">
        <v>512</v>
      </c>
      <c r="D262" s="16" t="s">
        <v>593</v>
      </c>
      <c r="E262" s="13" t="s">
        <v>490</v>
      </c>
    </row>
    <row r="263" spans="1:5" ht="14.25" customHeight="1">
      <c r="A263" s="13" t="str">
        <f>C263&amp;D263&amp;E263</f>
        <v>T24CORELD_LOANS_AND_DEPOSITSRECID</v>
      </c>
      <c r="B263" s="13" t="s">
        <v>171</v>
      </c>
      <c r="C263" s="16" t="s">
        <v>512</v>
      </c>
      <c r="D263" s="16" t="s">
        <v>593</v>
      </c>
      <c r="E263" s="13" t="s">
        <v>490</v>
      </c>
    </row>
    <row r="264" spans="1:5" ht="14.25" customHeight="1">
      <c r="A264" s="13" t="str">
        <f>C264&amp;D264&amp;E264</f>
        <v>T24CORELD_LOANS_AND_DEPOSITSRECORD_STATUS</v>
      </c>
      <c r="B264" s="13" t="s">
        <v>171</v>
      </c>
      <c r="C264" s="16" t="s">
        <v>512</v>
      </c>
      <c r="D264" s="16" t="s">
        <v>593</v>
      </c>
      <c r="E264" s="13" t="s">
        <v>491</v>
      </c>
    </row>
    <row r="265" spans="1:5" ht="14.25" customHeight="1">
      <c r="A265" s="13" t="str">
        <f>C265&amp;D265&amp;E265</f>
        <v>T24CORELD_LOANS_AND_DEPOSITSSTATUS</v>
      </c>
      <c r="B265" s="13" t="s">
        <v>190</v>
      </c>
      <c r="C265" s="258" t="s">
        <v>512</v>
      </c>
      <c r="D265" s="16" t="s">
        <v>593</v>
      </c>
      <c r="E265" s="13" t="s">
        <v>398</v>
      </c>
    </row>
    <row r="266" spans="1:5" ht="14.25" customHeight="1">
      <c r="A266" s="13" t="str">
        <f>C266&amp;D266&amp;E266</f>
        <v>T24CORELD_LOANS_AND_DEPOSITSUSE_OF_LOAN</v>
      </c>
      <c r="B266" s="13" t="s">
        <v>190</v>
      </c>
      <c r="C266" s="258" t="s">
        <v>512</v>
      </c>
      <c r="D266" s="16" t="s">
        <v>593</v>
      </c>
      <c r="E266" s="13" t="s">
        <v>618</v>
      </c>
    </row>
    <row r="267" spans="1:5" ht="14.25" customHeight="1">
      <c r="A267" s="13" t="str">
        <f>C267&amp;D267&amp;E267</f>
        <v>T24CORELD_LOANS_AND_DEPOSITSUSE_OF_LOAN</v>
      </c>
      <c r="B267" s="13" t="s">
        <v>171</v>
      </c>
      <c r="C267" s="16" t="s">
        <v>512</v>
      </c>
      <c r="D267" s="16" t="s">
        <v>593</v>
      </c>
      <c r="E267" s="13" t="s">
        <v>618</v>
      </c>
    </row>
    <row r="268" spans="1:5" ht="14.25" customHeight="1">
      <c r="A268" s="13" t="str">
        <f>C268&amp;D268&amp;E268</f>
        <v>T24CORELD_LOANS_AND_DEPOSITSUSE_OF_LOAN_CHA</v>
      </c>
      <c r="B268" s="13" t="s">
        <v>190</v>
      </c>
      <c r="C268" s="258" t="s">
        <v>512</v>
      </c>
      <c r="D268" s="16" t="s">
        <v>593</v>
      </c>
      <c r="E268" s="13" t="s">
        <v>619</v>
      </c>
    </row>
    <row r="269" spans="1:5" ht="14.25" customHeight="1">
      <c r="A269" s="13" t="str">
        <f>C269&amp;D269&amp;E269</f>
        <v>T24CORELD_LOANS_AND_DEPOSITSUSE_OF_LOAN_CHA</v>
      </c>
      <c r="B269" s="13" t="s">
        <v>171</v>
      </c>
      <c r="C269" s="16" t="s">
        <v>512</v>
      </c>
      <c r="D269" s="16" t="s">
        <v>593</v>
      </c>
      <c r="E269" s="13" t="s">
        <v>619</v>
      </c>
    </row>
    <row r="270" spans="1:5" ht="14.25" customHeight="1">
      <c r="A270" s="13" t="str">
        <f>C270&amp;D270&amp;E270</f>
        <v>T24CORELD_LOANS_AND_DEPOSITSVALUE_DATE</v>
      </c>
      <c r="B270" s="13" t="s">
        <v>171</v>
      </c>
      <c r="C270" s="16" t="s">
        <v>512</v>
      </c>
      <c r="D270" s="16" t="s">
        <v>593</v>
      </c>
      <c r="E270" s="13" t="s">
        <v>504</v>
      </c>
    </row>
    <row r="271" spans="1:5" ht="14.25" customHeight="1">
      <c r="A271" s="13" t="str">
        <f>C271&amp;D271&amp;E271</f>
        <v>T24CORELD_LOANS_AND_DEPOSITS_HISACC_FCC</v>
      </c>
      <c r="B271" s="13" t="s">
        <v>166</v>
      </c>
      <c r="C271" s="258" t="s">
        <v>512</v>
      </c>
      <c r="D271" s="16" t="s">
        <v>620</v>
      </c>
      <c r="E271" s="13" t="s">
        <v>507</v>
      </c>
    </row>
    <row r="272" spans="1:5" ht="14.25" customHeight="1">
      <c r="A272" s="13" t="str">
        <f>C272&amp;D272&amp;E272</f>
        <v>T24CORELD_LOANS_AND_DEPOSITS_HISACC_FCC</v>
      </c>
      <c r="B272" s="13" t="s">
        <v>171</v>
      </c>
      <c r="C272" s="16" t="s">
        <v>512</v>
      </c>
      <c r="D272" s="16" t="s">
        <v>620</v>
      </c>
      <c r="E272" s="13" t="s">
        <v>507</v>
      </c>
    </row>
    <row r="273" spans="1:5" ht="14.25" customHeight="1">
      <c r="A273" s="13" t="str">
        <f>C273&amp;D273&amp;E273</f>
        <v>T24CORELD_LOANS_AND_DEPOSITS_HISAMOUNT</v>
      </c>
      <c r="B273" s="13" t="s">
        <v>171</v>
      </c>
      <c r="C273" s="17" t="s">
        <v>512</v>
      </c>
      <c r="D273" s="17" t="s">
        <v>620</v>
      </c>
      <c r="E273" s="13" t="s">
        <v>594</v>
      </c>
    </row>
    <row r="274" spans="1:5" ht="14.25" customHeight="1">
      <c r="A274" s="13" t="str">
        <f>C274&amp;D274&amp;E274</f>
        <v>T24CORELD_LOANS_AND_DEPOSITS_HISAPPROVE_AMOUNT</v>
      </c>
      <c r="B274" s="13" t="s">
        <v>166</v>
      </c>
      <c r="C274" s="258" t="s">
        <v>512</v>
      </c>
      <c r="D274" s="16" t="s">
        <v>620</v>
      </c>
      <c r="E274" s="13" t="s">
        <v>595</v>
      </c>
    </row>
    <row r="275" spans="1:5" ht="14.25" customHeight="1">
      <c r="A275" s="13" t="str">
        <f>C275&amp;D275&amp;E275</f>
        <v>T24CORELD_LOANS_AND_DEPOSITS_HISAPPROVE_AMOUNT</v>
      </c>
      <c r="B275" s="13" t="s">
        <v>171</v>
      </c>
      <c r="C275" s="16" t="s">
        <v>512</v>
      </c>
      <c r="D275" s="16" t="s">
        <v>620</v>
      </c>
      <c r="E275" s="13" t="s">
        <v>595</v>
      </c>
    </row>
    <row r="276" spans="1:5" ht="14.25" customHeight="1">
      <c r="A276" s="13" t="str">
        <f>C276&amp;D276&amp;E276</f>
        <v>T24CORELD_LOANS_AND_DEPOSITS_HISCATEGORY</v>
      </c>
      <c r="B276" s="13" t="s">
        <v>166</v>
      </c>
      <c r="C276" s="258" t="s">
        <v>512</v>
      </c>
      <c r="D276" s="16" t="s">
        <v>620</v>
      </c>
      <c r="E276" s="13" t="s">
        <v>597</v>
      </c>
    </row>
    <row r="277" spans="1:5" ht="14.25" customHeight="1">
      <c r="A277" s="13" t="str">
        <f>C277&amp;D277&amp;E277</f>
        <v>T24CORELD_LOANS_AND_DEPOSITS_HISCATEGORY</v>
      </c>
      <c r="B277" s="13" t="s">
        <v>171</v>
      </c>
      <c r="C277" s="16" t="s">
        <v>512</v>
      </c>
      <c r="D277" s="16" t="s">
        <v>620</v>
      </c>
      <c r="E277" s="13" t="s">
        <v>597</v>
      </c>
    </row>
    <row r="278" spans="1:5" ht="14.25" customHeight="1">
      <c r="A278" s="13" t="str">
        <f>C278&amp;D278&amp;E278</f>
        <v>T24CORELD_LOANS_AND_DEPOSITS_HISCO_CODE</v>
      </c>
      <c r="B278" s="13" t="s">
        <v>166</v>
      </c>
      <c r="C278" s="258" t="s">
        <v>512</v>
      </c>
      <c r="D278" s="16" t="s">
        <v>620</v>
      </c>
      <c r="E278" s="13" t="s">
        <v>460</v>
      </c>
    </row>
    <row r="279" spans="1:5" ht="14.25" customHeight="1">
      <c r="A279" s="13" t="str">
        <f>C279&amp;D279&amp;E279</f>
        <v>T24CORELD_LOANS_AND_DEPOSITS_HISCO_CODE</v>
      </c>
      <c r="B279" s="13" t="s">
        <v>171</v>
      </c>
      <c r="C279" s="16" t="s">
        <v>512</v>
      </c>
      <c r="D279" s="16" t="s">
        <v>620</v>
      </c>
      <c r="E279" s="13" t="s">
        <v>460</v>
      </c>
    </row>
    <row r="280" spans="1:5" ht="14.25" customHeight="1">
      <c r="A280" s="13" t="str">
        <f>C280&amp;D280&amp;E280</f>
        <v>T24CORELD_LOANS_AND_DEPOSITS_HISCOMMIT_ACTION</v>
      </c>
      <c r="B280" s="13" t="s">
        <v>171</v>
      </c>
      <c r="C280" s="16" t="s">
        <v>512</v>
      </c>
      <c r="D280" s="16" t="s">
        <v>620</v>
      </c>
      <c r="E280" s="13" t="s">
        <v>461</v>
      </c>
    </row>
    <row r="281" spans="1:5" ht="14.25" customHeight="1">
      <c r="A281" s="13" t="str">
        <f>C281&amp;D281&amp;E281</f>
        <v>T24CORELD_LOANS_AND_DEPOSITS_HISCRA_LD</v>
      </c>
      <c r="B281" s="13" t="s">
        <v>171</v>
      </c>
      <c r="C281" s="16" t="s">
        <v>512</v>
      </c>
      <c r="D281" s="16" t="s">
        <v>620</v>
      </c>
      <c r="E281" s="13" t="s">
        <v>598</v>
      </c>
    </row>
    <row r="282" spans="1:5" ht="14.25" customHeight="1">
      <c r="A282" s="13" t="str">
        <f>C282&amp;D282&amp;E282</f>
        <v>T24CORELD_LOANS_AND_DEPOSITS_HISCURR_NO</v>
      </c>
      <c r="B282" s="13" t="s">
        <v>171</v>
      </c>
      <c r="C282" s="16" t="s">
        <v>512</v>
      </c>
      <c r="D282" s="16" t="s">
        <v>620</v>
      </c>
      <c r="E282" s="13" t="s">
        <v>468</v>
      </c>
    </row>
    <row r="283" spans="1:5" ht="14.25" customHeight="1">
      <c r="A283" s="13" t="str">
        <f>C283&amp;D283&amp;E283</f>
        <v xml:space="preserve">T24CORELD_LOANS_AND_DEPOSITS_HISCURR_NO </v>
      </c>
      <c r="B283" s="13" t="s">
        <v>166</v>
      </c>
      <c r="C283" s="258" t="s">
        <v>512</v>
      </c>
      <c r="D283" s="16" t="s">
        <v>620</v>
      </c>
      <c r="E283" s="13" t="s">
        <v>599</v>
      </c>
    </row>
    <row r="284" spans="1:5" ht="14.25" customHeight="1">
      <c r="A284" s="13" t="str">
        <f>C284&amp;D284&amp;E284</f>
        <v>T24CORELD_LOANS_AND_DEPOSITS_HISCURRENCY</v>
      </c>
      <c r="B284" s="13" t="s">
        <v>171</v>
      </c>
      <c r="C284" s="16" t="s">
        <v>512</v>
      </c>
      <c r="D284" s="16" t="s">
        <v>620</v>
      </c>
      <c r="E284" s="13" t="s">
        <v>469</v>
      </c>
    </row>
    <row r="285" spans="1:5" ht="14.25" customHeight="1">
      <c r="A285" s="13" t="str">
        <f>C285&amp;D285&amp;E285</f>
        <v>T24CORELD_LOANS_AND_DEPOSITS_HISCUSTOMER_ID</v>
      </c>
      <c r="B285" s="13" t="s">
        <v>166</v>
      </c>
      <c r="C285" s="258" t="s">
        <v>512</v>
      </c>
      <c r="D285" s="16" t="s">
        <v>620</v>
      </c>
      <c r="E285" s="13" t="s">
        <v>470</v>
      </c>
    </row>
    <row r="286" spans="1:5" ht="14.25" customHeight="1">
      <c r="A286" s="13" t="str">
        <f>C286&amp;D286&amp;E286</f>
        <v>T24CORELD_LOANS_AND_DEPOSITS_HISCUSTOMER_ID</v>
      </c>
      <c r="B286" s="13" t="s">
        <v>171</v>
      </c>
      <c r="C286" s="16" t="s">
        <v>512</v>
      </c>
      <c r="D286" s="16" t="s">
        <v>620</v>
      </c>
      <c r="E286" s="13" t="s">
        <v>470</v>
      </c>
    </row>
    <row r="287" spans="1:5" ht="14.25" customHeight="1">
      <c r="A287" s="13" t="str">
        <f>C287&amp;D287&amp;E287</f>
        <v>T24CORELD_LOANS_AND_DEPOSITS_HISDATE_TIME</v>
      </c>
      <c r="B287" s="13" t="s">
        <v>166</v>
      </c>
      <c r="C287" s="258" t="s">
        <v>512</v>
      </c>
      <c r="D287" s="16" t="s">
        <v>620</v>
      </c>
      <c r="E287" s="13" t="s">
        <v>472</v>
      </c>
    </row>
    <row r="288" spans="1:5" ht="14.25" customHeight="1">
      <c r="A288" s="13" t="str">
        <f>C288&amp;D288&amp;E288</f>
        <v>T24CORELD_LOANS_AND_DEPOSITS_HISDATE_TIME</v>
      </c>
      <c r="B288" s="13" t="s">
        <v>171</v>
      </c>
      <c r="C288" s="16" t="s">
        <v>512</v>
      </c>
      <c r="D288" s="16" t="s">
        <v>620</v>
      </c>
      <c r="E288" s="13" t="s">
        <v>472</v>
      </c>
    </row>
    <row r="289" spans="1:5" ht="14.25" customHeight="1">
      <c r="A289" s="13" t="str">
        <f>C289&amp;D289&amp;E289</f>
        <v>T24CORELD_LOANS_AND_DEPOSITS_HISDRAWDOWN_NET_AMT</v>
      </c>
      <c r="B289" s="13" t="s">
        <v>166</v>
      </c>
      <c r="C289" s="258" t="s">
        <v>512</v>
      </c>
      <c r="D289" s="16" t="s">
        <v>620</v>
      </c>
      <c r="E289" s="13" t="s">
        <v>600</v>
      </c>
    </row>
    <row r="290" spans="1:5" ht="14.25" customHeight="1">
      <c r="A290" s="13" t="str">
        <f>C290&amp;D290&amp;E290</f>
        <v>T24CORELD_LOANS_AND_DEPOSITS_HISDRAWDOWN_NET_AMT</v>
      </c>
      <c r="B290" s="13" t="s">
        <v>171</v>
      </c>
      <c r="C290" s="16" t="s">
        <v>512</v>
      </c>
      <c r="D290" s="16" t="s">
        <v>620</v>
      </c>
      <c r="E290" s="13" t="s">
        <v>600</v>
      </c>
    </row>
    <row r="291" spans="1:5" ht="14.25" customHeight="1">
      <c r="A291" s="13" t="str">
        <f>C291&amp;D291&amp;E291</f>
        <v>T24CORELD_LOANS_AND_DEPOSITS_HISEXCG_RATE</v>
      </c>
      <c r="B291" s="13" t="s">
        <v>171</v>
      </c>
      <c r="C291" s="16" t="s">
        <v>512</v>
      </c>
      <c r="D291" s="16" t="s">
        <v>620</v>
      </c>
      <c r="E291" s="13" t="s">
        <v>601</v>
      </c>
    </row>
    <row r="292" spans="1:5" ht="14.25" customHeight="1">
      <c r="A292" s="13" t="str">
        <f>C292&amp;D292&amp;E292</f>
        <v>T24CORELD_LOANS_AND_DEPOSITS_HISFIN_MAT_DATE</v>
      </c>
      <c r="B292" s="13" t="s">
        <v>166</v>
      </c>
      <c r="C292" s="258" t="s">
        <v>512</v>
      </c>
      <c r="D292" s="16" t="s">
        <v>620</v>
      </c>
      <c r="E292" s="13" t="s">
        <v>603</v>
      </c>
    </row>
    <row r="293" spans="1:5" ht="14.25" customHeight="1">
      <c r="A293" s="13" t="str">
        <f>C293&amp;D293&amp;E293</f>
        <v>T24CORELD_LOANS_AND_DEPOSITS_HISFIN_MAT_DATE</v>
      </c>
      <c r="B293" s="13" t="s">
        <v>171</v>
      </c>
      <c r="C293" s="16" t="s">
        <v>512</v>
      </c>
      <c r="D293" s="16" t="s">
        <v>620</v>
      </c>
      <c r="E293" s="13" t="s">
        <v>603</v>
      </c>
    </row>
    <row r="294" spans="1:5" ht="14.25" customHeight="1">
      <c r="A294" s="13" t="str">
        <f>C294&amp;D294&amp;E294</f>
        <v>T24CORELD_LOANS_AND_DEPOSITS_HISINT_LIQ_ACCT</v>
      </c>
      <c r="B294" s="13" t="s">
        <v>166</v>
      </c>
      <c r="C294" s="258" t="s">
        <v>512</v>
      </c>
      <c r="D294" s="16" t="s">
        <v>620</v>
      </c>
      <c r="E294" s="13" t="s">
        <v>605</v>
      </c>
    </row>
    <row r="295" spans="1:5" ht="14.25" customHeight="1">
      <c r="A295" s="13" t="str">
        <f>C295&amp;D295&amp;E295</f>
        <v>T24CORELD_LOANS_AND_DEPOSITS_HISINT_LIQ_ACCT</v>
      </c>
      <c r="B295" s="13" t="s">
        <v>171</v>
      </c>
      <c r="C295" s="16" t="s">
        <v>512</v>
      </c>
      <c r="D295" s="16" t="s">
        <v>620</v>
      </c>
      <c r="E295" s="13" t="s">
        <v>605</v>
      </c>
    </row>
    <row r="296" spans="1:5" ht="14.25" customHeight="1">
      <c r="A296" s="13" t="str">
        <f>C296&amp;D296&amp;E296</f>
        <v>T24CORELD_LOANS_AND_DEPOSITS_HISINT_RATE_TYPE</v>
      </c>
      <c r="B296" s="13" t="s">
        <v>166</v>
      </c>
      <c r="C296" s="258" t="s">
        <v>512</v>
      </c>
      <c r="D296" s="16" t="s">
        <v>620</v>
      </c>
      <c r="E296" s="13" t="s">
        <v>606</v>
      </c>
    </row>
    <row r="297" spans="1:5" ht="14.25" customHeight="1">
      <c r="A297" s="13" t="str">
        <f>C297&amp;D297&amp;E297</f>
        <v>T24CORELD_LOANS_AND_DEPOSITS_HISINT_RATE_TYPE</v>
      </c>
      <c r="B297" s="13" t="s">
        <v>171</v>
      </c>
      <c r="C297" s="16" t="s">
        <v>512</v>
      </c>
      <c r="D297" s="16" t="s">
        <v>620</v>
      </c>
      <c r="E297" s="13" t="s">
        <v>606</v>
      </c>
    </row>
    <row r="298" spans="1:5" ht="14.25" customHeight="1">
      <c r="A298" s="13" t="str">
        <f>C298&amp;D298&amp;E298</f>
        <v>T24CORELD_LOANS_AND_DEPOSITS_HISINT_VALUE_DATE</v>
      </c>
      <c r="B298" s="13" t="s">
        <v>171</v>
      </c>
      <c r="C298" s="16" t="s">
        <v>512</v>
      </c>
      <c r="D298" s="16" t="s">
        <v>620</v>
      </c>
      <c r="E298" s="13" t="s">
        <v>607</v>
      </c>
    </row>
    <row r="299" spans="1:5" ht="14.25" customHeight="1">
      <c r="A299" s="13" t="str">
        <f>C299&amp;D299&amp;E299</f>
        <v>T24CORELD_LOANS_AND_DEPOSITS_HISINTEREST_RATE</v>
      </c>
      <c r="B299" s="13" t="s">
        <v>166</v>
      </c>
      <c r="C299" s="258" t="s">
        <v>512</v>
      </c>
      <c r="D299" s="16" t="s">
        <v>620</v>
      </c>
      <c r="E299" s="13" t="s">
        <v>608</v>
      </c>
    </row>
    <row r="300" spans="1:5" ht="14.25" customHeight="1">
      <c r="A300" s="13" t="str">
        <f>C300&amp;D300&amp;E300</f>
        <v>T24CORELD_LOANS_AND_DEPOSITS_HISINTEREST_RATE</v>
      </c>
      <c r="B300" s="13" t="s">
        <v>171</v>
      </c>
      <c r="C300" s="18" t="s">
        <v>512</v>
      </c>
      <c r="D300" s="16" t="s">
        <v>620</v>
      </c>
      <c r="E300" s="258" t="s">
        <v>608</v>
      </c>
    </row>
    <row r="301" spans="1:5" ht="14.25" customHeight="1">
      <c r="A301" s="13" t="str">
        <f>C301&amp;D301&amp;E301</f>
        <v>T24CORELD_LOANS_AND_DEPOSITS_HISINTEREST_SPREAD</v>
      </c>
      <c r="B301" s="13" t="s">
        <v>166</v>
      </c>
      <c r="C301" s="13" t="s">
        <v>512</v>
      </c>
      <c r="D301" s="16" t="s">
        <v>620</v>
      </c>
      <c r="E301" s="258" t="s">
        <v>609</v>
      </c>
    </row>
    <row r="302" spans="1:5" ht="14.25" customHeight="1">
      <c r="A302" s="13" t="str">
        <f>C302&amp;D302&amp;E302</f>
        <v>T24CORELD_LOANS_AND_DEPOSITS_HISINTEREST_SPREAD</v>
      </c>
      <c r="B302" s="13" t="s">
        <v>171</v>
      </c>
      <c r="C302" s="18" t="s">
        <v>512</v>
      </c>
      <c r="D302" s="16" t="s">
        <v>620</v>
      </c>
      <c r="E302" s="258" t="s">
        <v>609</v>
      </c>
    </row>
    <row r="303" spans="1:5" ht="14.25" customHeight="1">
      <c r="A303" s="13" t="str">
        <f>C303&amp;D303&amp;E303</f>
        <v>T24CORELD_LOANS_AND_DEPOSITS_HISLOC_TERM</v>
      </c>
      <c r="B303" s="13" t="s">
        <v>171</v>
      </c>
      <c r="C303" s="18" t="s">
        <v>512</v>
      </c>
      <c r="D303" s="16" t="s">
        <v>620</v>
      </c>
      <c r="E303" s="258" t="s">
        <v>520</v>
      </c>
    </row>
    <row r="304" spans="1:5" ht="14.25" customHeight="1">
      <c r="A304" s="13" t="str">
        <f>C304&amp;D304&amp;E304</f>
        <v>T24CORELD_LOANS_AND_DEPOSITS_HISMB_RM_BANCHEO</v>
      </c>
      <c r="B304" s="13" t="s">
        <v>171</v>
      </c>
      <c r="C304" s="18" t="s">
        <v>512</v>
      </c>
      <c r="D304" s="16" t="s">
        <v>620</v>
      </c>
      <c r="E304" s="258" t="s">
        <v>557</v>
      </c>
    </row>
    <row r="305" spans="1:5" ht="14.25" customHeight="1">
      <c r="A305" s="13" t="str">
        <f>C305&amp;D305&amp;E305</f>
        <v>T24CORELD_LOANS_AND_DEPOSITS_HISORIG_VAL_DATE</v>
      </c>
      <c r="B305" s="13" t="s">
        <v>171</v>
      </c>
      <c r="C305" s="18" t="s">
        <v>512</v>
      </c>
      <c r="D305" s="16" t="s">
        <v>620</v>
      </c>
      <c r="E305" s="258" t="s">
        <v>612</v>
      </c>
    </row>
    <row r="306" spans="1:5" ht="14.25" customHeight="1">
      <c r="A306" s="13" t="str">
        <f>C306&amp;D306&amp;E306</f>
        <v>T24CORELD_LOANS_AND_DEPOSITS_HISPRIN_LIQ_ACCT</v>
      </c>
      <c r="B306" s="13" t="s">
        <v>166</v>
      </c>
      <c r="C306" s="13" t="s">
        <v>512</v>
      </c>
      <c r="D306" s="16" t="s">
        <v>620</v>
      </c>
      <c r="E306" s="258" t="s">
        <v>614</v>
      </c>
    </row>
    <row r="307" spans="1:5" ht="14.25" customHeight="1">
      <c r="A307" s="13" t="str">
        <f>C307&amp;D307&amp;E307</f>
        <v>T24CORELD_LOANS_AND_DEPOSITS_HISPRIN_LIQ_ACCT</v>
      </c>
      <c r="B307" s="13" t="s">
        <v>171</v>
      </c>
      <c r="C307" s="18" t="s">
        <v>512</v>
      </c>
      <c r="D307" s="16" t="s">
        <v>620</v>
      </c>
      <c r="E307" s="258" t="s">
        <v>614</v>
      </c>
    </row>
    <row r="308" spans="1:5" ht="14.25" customHeight="1">
      <c r="A308" s="13" t="str">
        <f>C308&amp;D308&amp;E308</f>
        <v>T24CORELD_LOANS_AND_DEPOSITS_HISREAL_RATE</v>
      </c>
      <c r="B308" s="13" t="s">
        <v>166</v>
      </c>
      <c r="C308" s="13" t="s">
        <v>512</v>
      </c>
      <c r="D308" s="16" t="s">
        <v>620</v>
      </c>
      <c r="E308" s="258" t="s">
        <v>617</v>
      </c>
    </row>
    <row r="309" spans="1:5" ht="14.25" customHeight="1">
      <c r="A309" s="13" t="str">
        <f>C309&amp;D309&amp;E309</f>
        <v>T24CORELD_LOANS_AND_DEPOSITS_HISREAL_RATE</v>
      </c>
      <c r="B309" s="13" t="s">
        <v>171</v>
      </c>
      <c r="C309" s="18" t="s">
        <v>512</v>
      </c>
      <c r="D309" s="16" t="s">
        <v>620</v>
      </c>
      <c r="E309" s="258" t="s">
        <v>617</v>
      </c>
    </row>
    <row r="310" spans="1:5" ht="14.25" customHeight="1">
      <c r="A310" s="13" t="str">
        <f>C310&amp;D310&amp;E310</f>
        <v>T24CORELD_LOANS_AND_DEPOSITS_HISRECID</v>
      </c>
      <c r="B310" s="13" t="s">
        <v>166</v>
      </c>
      <c r="C310" s="13" t="s">
        <v>512</v>
      </c>
      <c r="D310" s="16" t="s">
        <v>620</v>
      </c>
      <c r="E310" s="258" t="s">
        <v>490</v>
      </c>
    </row>
    <row r="311" spans="1:5" ht="14.25" customHeight="1">
      <c r="A311" s="13" t="str">
        <f>C311&amp;D311&amp;E311</f>
        <v>T24CORELD_LOANS_AND_DEPOSITS_HISRECID</v>
      </c>
      <c r="B311" s="13" t="s">
        <v>171</v>
      </c>
      <c r="C311" s="18" t="s">
        <v>512</v>
      </c>
      <c r="D311" s="16" t="s">
        <v>620</v>
      </c>
      <c r="E311" s="258" t="s">
        <v>490</v>
      </c>
    </row>
    <row r="312" spans="1:5" ht="14.25" customHeight="1">
      <c r="A312" s="13" t="str">
        <f>C312&amp;D312&amp;E312</f>
        <v>T24CORELD_LOANS_AND_DEPOSITS_HISRECORD_STATUS</v>
      </c>
      <c r="B312" s="13" t="s">
        <v>166</v>
      </c>
      <c r="C312" s="13" t="s">
        <v>512</v>
      </c>
      <c r="D312" s="16" t="s">
        <v>620</v>
      </c>
      <c r="E312" s="258" t="s">
        <v>491</v>
      </c>
    </row>
    <row r="313" spans="1:5" ht="14.25" customHeight="1">
      <c r="A313" s="13" t="str">
        <f>C313&amp;D313&amp;E313</f>
        <v>T24CORELD_LOANS_AND_DEPOSITS_HISRECORD_STATUS</v>
      </c>
      <c r="B313" s="13" t="s">
        <v>171</v>
      </c>
      <c r="C313" s="18" t="s">
        <v>512</v>
      </c>
      <c r="D313" s="16" t="s">
        <v>620</v>
      </c>
      <c r="E313" s="258" t="s">
        <v>491</v>
      </c>
    </row>
    <row r="314" spans="1:5" ht="14.25" customHeight="1">
      <c r="A314" s="13" t="str">
        <f>C314&amp;D314&amp;E314</f>
        <v>T24CORELD_LOANS_AND_DEPOSITS_HISUSE_OF_LOAN</v>
      </c>
      <c r="B314" s="13" t="s">
        <v>171</v>
      </c>
      <c r="C314" s="18" t="s">
        <v>512</v>
      </c>
      <c r="D314" s="16" t="s">
        <v>620</v>
      </c>
      <c r="E314" s="258" t="s">
        <v>618</v>
      </c>
    </row>
    <row r="315" spans="1:5" ht="14.25" customHeight="1">
      <c r="A315" s="13" t="str">
        <f>C315&amp;D315&amp;E315</f>
        <v>T24CORELD_LOANS_AND_DEPOSITS_HISUSE_OF_LOAN_CHA</v>
      </c>
      <c r="B315" s="13" t="s">
        <v>171</v>
      </c>
      <c r="C315" s="18" t="s">
        <v>512</v>
      </c>
      <c r="D315" s="16" t="s">
        <v>620</v>
      </c>
      <c r="E315" s="258" t="s">
        <v>619</v>
      </c>
    </row>
    <row r="316" spans="1:5" ht="14.25" customHeight="1">
      <c r="A316" s="13" t="str">
        <f>C316&amp;D316&amp;E316</f>
        <v>T24CORELD_LOANS_AND_DEPOSITS_HISVALUE_DATE</v>
      </c>
      <c r="B316" s="13" t="s">
        <v>166</v>
      </c>
      <c r="C316" s="13" t="s">
        <v>512</v>
      </c>
      <c r="D316" s="16" t="s">
        <v>620</v>
      </c>
      <c r="E316" s="258" t="s">
        <v>504</v>
      </c>
    </row>
    <row r="317" spans="1:5" ht="14.25" customHeight="1">
      <c r="A317" s="13" t="str">
        <f>C317&amp;D317&amp;E317</f>
        <v>T24CORELD_LOANS_AND_DEPOSITS_HISVALUE_DATE</v>
      </c>
      <c r="B317" s="13" t="s">
        <v>171</v>
      </c>
      <c r="C317" s="18" t="s">
        <v>512</v>
      </c>
      <c r="D317" s="16" t="s">
        <v>620</v>
      </c>
      <c r="E317" s="258" t="s">
        <v>504</v>
      </c>
    </row>
    <row r="318" spans="1:5" ht="14.25" customHeight="1">
      <c r="A318" s="13" t="str">
        <f>C318&amp;D318&amp;E318</f>
        <v>T24CORELD_SCHEDULE_DEFINE_MVCONTRACT_ID</v>
      </c>
      <c r="B318" s="13" t="s">
        <v>166</v>
      </c>
      <c r="C318" s="13" t="s">
        <v>512</v>
      </c>
      <c r="D318" s="16" t="s">
        <v>621</v>
      </c>
      <c r="E318" s="258" t="s">
        <v>622</v>
      </c>
    </row>
    <row r="319" spans="1:5" ht="14.25" customHeight="1">
      <c r="A319" s="13" t="str">
        <f>C319&amp;D319&amp;E319</f>
        <v>T24CORELD_SCHEDULE_DEFINE_MVPREV_SCHED_DATE</v>
      </c>
      <c r="B319" s="13" t="s">
        <v>166</v>
      </c>
      <c r="C319" s="13" t="s">
        <v>512</v>
      </c>
      <c r="D319" s="16" t="s">
        <v>621</v>
      </c>
      <c r="E319" s="258" t="s">
        <v>623</v>
      </c>
    </row>
    <row r="320" spans="1:5" ht="14.25" customHeight="1">
      <c r="A320" s="13" t="str">
        <f>C320&amp;D320&amp;E320</f>
        <v>T24COREMB_MG_SAVING_MULTILD_ID</v>
      </c>
      <c r="B320" s="13" t="s">
        <v>171</v>
      </c>
      <c r="C320" s="20" t="s">
        <v>512</v>
      </c>
      <c r="D320" s="17" t="s">
        <v>624</v>
      </c>
      <c r="E320" s="258" t="s">
        <v>625</v>
      </c>
    </row>
    <row r="321" spans="1:5" ht="14.25" customHeight="1">
      <c r="A321" s="13" t="str">
        <f>C321&amp;D321&amp;E321</f>
        <v>T24COREMB_MG_SAVING_MULTIPRODUCTGR_CODE</v>
      </c>
      <c r="B321" s="13" t="s">
        <v>171</v>
      </c>
      <c r="C321" s="18" t="s">
        <v>512</v>
      </c>
      <c r="D321" s="16" t="s">
        <v>624</v>
      </c>
      <c r="E321" s="258" t="s">
        <v>615</v>
      </c>
    </row>
    <row r="322" spans="1:5" ht="14.25" customHeight="1">
      <c r="A322" s="13" t="str">
        <f>C322&amp;D322&amp;E322</f>
        <v>T24COREPD_PAYMENT_DUEAUTHORISER</v>
      </c>
      <c r="B322" s="13" t="s">
        <v>190</v>
      </c>
      <c r="C322" s="13" t="s">
        <v>512</v>
      </c>
      <c r="D322" s="16" t="s">
        <v>626</v>
      </c>
      <c r="E322" s="258" t="s">
        <v>596</v>
      </c>
    </row>
    <row r="323" spans="1:5" ht="14.25" customHeight="1">
      <c r="A323" s="13" t="str">
        <f>C323&amp;D323&amp;E323</f>
        <v>T24COREPD_PAYMENT_DUECREDIT_STATUS</v>
      </c>
      <c r="B323" s="13" t="s">
        <v>190</v>
      </c>
      <c r="C323" s="13" t="s">
        <v>512</v>
      </c>
      <c r="D323" s="16" t="s">
        <v>626</v>
      </c>
      <c r="E323" s="258" t="s">
        <v>627</v>
      </c>
    </row>
    <row r="324" spans="1:5" ht="14.25" customHeight="1">
      <c r="A324" s="13" t="str">
        <f>C324&amp;D324&amp;E324</f>
        <v>T24COREPD_PAYMENT_DUECURR_NO</v>
      </c>
      <c r="B324" s="13" t="s">
        <v>190</v>
      </c>
      <c r="C324" s="13" t="s">
        <v>512</v>
      </c>
      <c r="D324" s="16" t="s">
        <v>626</v>
      </c>
      <c r="E324" s="258" t="s">
        <v>468</v>
      </c>
    </row>
    <row r="325" spans="1:5" ht="14.25" customHeight="1">
      <c r="A325" s="13" t="str">
        <f>C325&amp;D325&amp;E325</f>
        <v>T24COREPD_PAYMENT_DUECUSTOMER</v>
      </c>
      <c r="B325" s="13" t="s">
        <v>190</v>
      </c>
      <c r="C325" s="13" t="s">
        <v>512</v>
      </c>
      <c r="D325" s="16" t="s">
        <v>626</v>
      </c>
      <c r="E325" s="258" t="s">
        <v>513</v>
      </c>
    </row>
    <row r="326" spans="1:5" ht="14.25" customHeight="1">
      <c r="A326" s="13" t="str">
        <f>C326&amp;D326&amp;E326</f>
        <v>T24COREPD_PAYMENT_DUEFLAG_STATUS</v>
      </c>
      <c r="B326" s="13" t="s">
        <v>190</v>
      </c>
      <c r="C326" s="13" t="s">
        <v>512</v>
      </c>
      <c r="D326" s="16" t="s">
        <v>626</v>
      </c>
      <c r="E326" s="258" t="s">
        <v>628</v>
      </c>
    </row>
    <row r="327" spans="1:5" ht="14.25" customHeight="1">
      <c r="A327" s="13" t="str">
        <f>C327&amp;D327&amp;E327</f>
        <v>T24COREPD_PAYMENT_DUEINPUTTER</v>
      </c>
      <c r="B327" s="13" t="s">
        <v>190</v>
      </c>
      <c r="C327" s="13" t="s">
        <v>512</v>
      </c>
      <c r="D327" s="16" t="s">
        <v>626</v>
      </c>
      <c r="E327" s="258" t="s">
        <v>604</v>
      </c>
    </row>
    <row r="328" spans="1:5" ht="14.25" customHeight="1">
      <c r="A328" s="13" t="str">
        <f>C328&amp;D328&amp;E328</f>
        <v>T24COREPD_PAYMENT_DUELOS_FAC_CODE</v>
      </c>
      <c r="B328" s="13" t="s">
        <v>190</v>
      </c>
      <c r="C328" s="13" t="s">
        <v>512</v>
      </c>
      <c r="D328" s="16" t="s">
        <v>626</v>
      </c>
      <c r="E328" s="258" t="s">
        <v>611</v>
      </c>
    </row>
    <row r="329" spans="1:5" ht="14.25" customHeight="1">
      <c r="A329" s="13" t="str">
        <f>C329&amp;D329&amp;E329</f>
        <v>T24COREPD_PAYMENT_DUEORIGINAL_MAT</v>
      </c>
      <c r="B329" s="13" t="s">
        <v>190</v>
      </c>
      <c r="C329" s="13" t="s">
        <v>512</v>
      </c>
      <c r="D329" s="16" t="s">
        <v>626</v>
      </c>
      <c r="E329" s="258" t="s">
        <v>629</v>
      </c>
    </row>
    <row r="330" spans="1:5" ht="14.25" customHeight="1">
      <c r="A330" s="13" t="str">
        <f>C330&amp;D330&amp;E330</f>
        <v>T24COREPD_PAYMENT_DUEPD_TYPE</v>
      </c>
      <c r="B330" s="13" t="s">
        <v>190</v>
      </c>
      <c r="C330" s="13" t="s">
        <v>512</v>
      </c>
      <c r="D330" s="16" t="s">
        <v>626</v>
      </c>
      <c r="E330" s="258" t="s">
        <v>630</v>
      </c>
    </row>
    <row r="331" spans="1:5" ht="14.25" customHeight="1">
      <c r="A331" s="13" t="str">
        <f>C331&amp;D331&amp;E331</f>
        <v>T24COREPD_PAYMENT_DUEPE_RATE</v>
      </c>
      <c r="B331" s="13" t="s">
        <v>190</v>
      </c>
      <c r="C331" s="13" t="s">
        <v>512</v>
      </c>
      <c r="D331" s="16" t="s">
        <v>626</v>
      </c>
      <c r="E331" s="258" t="s">
        <v>613</v>
      </c>
    </row>
    <row r="332" spans="1:5" ht="14.25" customHeight="1">
      <c r="A332" s="13" t="str">
        <f>C332&amp;D332&amp;E332</f>
        <v>T24COREPD_PAYMENT_DUEPENALTY_RATE</v>
      </c>
      <c r="B332" s="13" t="s">
        <v>190</v>
      </c>
      <c r="C332" s="13" t="s">
        <v>512</v>
      </c>
      <c r="D332" s="16" t="s">
        <v>626</v>
      </c>
      <c r="E332" s="258" t="s">
        <v>631</v>
      </c>
    </row>
    <row r="333" spans="1:5" ht="14.25" customHeight="1">
      <c r="A333" s="13" t="str">
        <f>C333&amp;D333&amp;E333</f>
        <v>T24COREPD_PAYMENT_DUERECID</v>
      </c>
      <c r="B333" s="13" t="s">
        <v>190</v>
      </c>
      <c r="C333" s="13" t="s">
        <v>512</v>
      </c>
      <c r="D333" s="16" t="s">
        <v>626</v>
      </c>
      <c r="E333" s="258" t="s">
        <v>490</v>
      </c>
    </row>
    <row r="334" spans="1:5" ht="14.25" customHeight="1">
      <c r="A334" s="13" t="str">
        <f>C334&amp;D334&amp;E334</f>
        <v>T24COREPD_PAYMENT_DUESNQH_CHUYENDOI</v>
      </c>
      <c r="B334" s="13" t="s">
        <v>190</v>
      </c>
      <c r="C334" s="13" t="s">
        <v>512</v>
      </c>
      <c r="D334" s="16" t="s">
        <v>626</v>
      </c>
      <c r="E334" s="258" t="s">
        <v>632</v>
      </c>
    </row>
    <row r="335" spans="1:5" ht="14.25" customHeight="1">
      <c r="A335" s="13" t="str">
        <f>C335&amp;D335&amp;E335</f>
        <v>T24COREPD_PAYMENT_DUEUSE_OF_LOAN</v>
      </c>
      <c r="B335" s="13" t="s">
        <v>190</v>
      </c>
      <c r="C335" s="13" t="s">
        <v>512</v>
      </c>
      <c r="D335" s="16" t="s">
        <v>626</v>
      </c>
      <c r="E335" s="258" t="s">
        <v>618</v>
      </c>
    </row>
    <row r="336" spans="1:5" ht="14.25" customHeight="1">
      <c r="A336" s="13" t="str">
        <f>C336&amp;D336&amp;E336</f>
        <v>T24COREPD_PAYMENT_DUEUSE_OF_LOAN_CHA</v>
      </c>
      <c r="B336" s="13" t="s">
        <v>190</v>
      </c>
      <c r="C336" s="13" t="s">
        <v>512</v>
      </c>
      <c r="D336" s="16" t="s">
        <v>626</v>
      </c>
      <c r="E336" s="258" t="s">
        <v>619</v>
      </c>
    </row>
    <row r="337" spans="1:5" ht="14.25" customHeight="1">
      <c r="A337" s="13" t="str">
        <f>C337&amp;D337&amp;E337</f>
        <v>T24COREPD_PAYMENT_DUE_HISCURR_NO</v>
      </c>
      <c r="B337" s="13" t="s">
        <v>190</v>
      </c>
      <c r="C337" s="13" t="s">
        <v>512</v>
      </c>
      <c r="D337" s="16" t="s">
        <v>633</v>
      </c>
      <c r="E337" s="258" t="s">
        <v>468</v>
      </c>
    </row>
    <row r="338" spans="1:5" ht="14.25" customHeight="1">
      <c r="A338" s="13" t="str">
        <f>C338&amp;D338&amp;E338</f>
        <v>T24COREPD_PAYMENT_DUE_HISPD_TYPE</v>
      </c>
      <c r="B338" s="13" t="s">
        <v>190</v>
      </c>
      <c r="C338" s="13" t="s">
        <v>512</v>
      </c>
      <c r="D338" s="16" t="s">
        <v>633</v>
      </c>
      <c r="E338" s="258" t="s">
        <v>630</v>
      </c>
    </row>
    <row r="339" spans="1:5" ht="14.25" customHeight="1">
      <c r="A339" s="13" t="str">
        <f>C339&amp;D339&amp;E339</f>
        <v>T24COREPD_PAYMENT_DUE_HISRECID</v>
      </c>
      <c r="B339" s="13" t="s">
        <v>190</v>
      </c>
      <c r="C339" s="13" t="s">
        <v>512</v>
      </c>
      <c r="D339" s="16" t="s">
        <v>633</v>
      </c>
      <c r="E339" s="258" t="s">
        <v>490</v>
      </c>
    </row>
    <row r="340" spans="1:5" ht="14.25" customHeight="1">
      <c r="A340" s="13" t="str">
        <f>C340&amp;D340&amp;E340</f>
        <v>T24COREPD_PAYMENT_DUE_HIS_MVACC_FCC</v>
      </c>
      <c r="B340" s="13" t="s">
        <v>166</v>
      </c>
      <c r="C340" s="13" t="s">
        <v>512</v>
      </c>
      <c r="D340" s="16" t="s">
        <v>634</v>
      </c>
      <c r="E340" s="258" t="s">
        <v>507</v>
      </c>
    </row>
    <row r="341" spans="1:5" ht="14.25" customHeight="1">
      <c r="A341" s="13" t="str">
        <f>C341&amp;D341&amp;E341</f>
        <v>T24COREPD_PAYMENT_DUE_HIS_MVAPPROVE_AMOUNT</v>
      </c>
      <c r="B341" s="13" t="s">
        <v>166</v>
      </c>
      <c r="C341" s="13" t="s">
        <v>512</v>
      </c>
      <c r="D341" s="16" t="s">
        <v>634</v>
      </c>
      <c r="E341" s="258" t="s">
        <v>595</v>
      </c>
    </row>
    <row r="342" spans="1:5" ht="14.25" customHeight="1">
      <c r="A342" s="13" t="str">
        <f>C342&amp;D342&amp;E342</f>
        <v>T24COREPD_PAYMENT_DUE_HIS_MVCATEGORY</v>
      </c>
      <c r="B342" s="13" t="s">
        <v>166</v>
      </c>
      <c r="C342" s="13" t="s">
        <v>512</v>
      </c>
      <c r="D342" s="16" t="s">
        <v>634</v>
      </c>
      <c r="E342" s="258" t="s">
        <v>597</v>
      </c>
    </row>
    <row r="343" spans="1:5" ht="14.25" customHeight="1">
      <c r="A343" s="13" t="str">
        <f>C343&amp;D343&amp;E343</f>
        <v>T24COREPD_PAYMENT_DUE_HIS_MVCO_CODE</v>
      </c>
      <c r="B343" s="13" t="s">
        <v>166</v>
      </c>
      <c r="C343" s="13" t="s">
        <v>512</v>
      </c>
      <c r="D343" s="16" t="s">
        <v>634</v>
      </c>
      <c r="E343" s="258" t="s">
        <v>460</v>
      </c>
    </row>
    <row r="344" spans="1:5" ht="14.25" customHeight="1">
      <c r="A344" s="13" t="str">
        <f>C344&amp;D344&amp;E344</f>
        <v>T24COREPD_PAYMENT_DUE_HIS_MVCREDIT_STATUS</v>
      </c>
      <c r="B344" s="13" t="s">
        <v>166</v>
      </c>
      <c r="C344" s="13" t="s">
        <v>512</v>
      </c>
      <c r="D344" s="16" t="s">
        <v>634</v>
      </c>
      <c r="E344" s="258" t="s">
        <v>627</v>
      </c>
    </row>
    <row r="345" spans="1:5" ht="14.25" customHeight="1">
      <c r="A345" s="13" t="str">
        <f>C345&amp;D345&amp;E345</f>
        <v>T24COREPD_PAYMENT_DUE_HIS_MVCURR_NO</v>
      </c>
      <c r="B345" s="13" t="s">
        <v>166</v>
      </c>
      <c r="C345" s="13" t="s">
        <v>512</v>
      </c>
      <c r="D345" s="16" t="s">
        <v>634</v>
      </c>
      <c r="E345" s="258" t="s">
        <v>468</v>
      </c>
    </row>
    <row r="346" spans="1:5" ht="14.25" customHeight="1">
      <c r="A346" s="13" t="str">
        <f>C346&amp;D346&amp;E346</f>
        <v>T24COREPD_PAYMENT_DUE_HIS_MVCUSTOMER</v>
      </c>
      <c r="B346" s="13" t="s">
        <v>166</v>
      </c>
      <c r="C346" s="13" t="s">
        <v>512</v>
      </c>
      <c r="D346" s="16" t="s">
        <v>634</v>
      </c>
      <c r="E346" s="258" t="s">
        <v>513</v>
      </c>
    </row>
    <row r="347" spans="1:5" ht="14.25" customHeight="1">
      <c r="A347" s="13" t="str">
        <f>C347&amp;D347&amp;E347</f>
        <v>T24COREPD_PAYMENT_DUE_HIS_MVDATE_TIME</v>
      </c>
      <c r="B347" s="13" t="s">
        <v>166</v>
      </c>
      <c r="C347" s="13" t="s">
        <v>512</v>
      </c>
      <c r="D347" s="16" t="s">
        <v>634</v>
      </c>
      <c r="E347" s="258" t="s">
        <v>472</v>
      </c>
    </row>
    <row r="348" spans="1:5" ht="14.25" customHeight="1">
      <c r="A348" s="13" t="str">
        <f>C348&amp;D348&amp;E348</f>
        <v>T24COREPD_PAYMENT_DUE_HIS_MVFINAL_DUE_DATE</v>
      </c>
      <c r="B348" s="13" t="s">
        <v>166</v>
      </c>
      <c r="C348" s="13" t="s">
        <v>512</v>
      </c>
      <c r="D348" s="16" t="s">
        <v>634</v>
      </c>
      <c r="E348" s="258" t="s">
        <v>635</v>
      </c>
    </row>
    <row r="349" spans="1:5" ht="14.25" customHeight="1">
      <c r="A349" s="13" t="str">
        <f>C349&amp;D349&amp;E349</f>
        <v>T24COREPD_PAYMENT_DUE_HIS_MVFLAG_STATUS</v>
      </c>
      <c r="B349" s="13" t="s">
        <v>166</v>
      </c>
      <c r="C349" s="13" t="s">
        <v>512</v>
      </c>
      <c r="D349" s="16" t="s">
        <v>634</v>
      </c>
      <c r="E349" s="258" t="s">
        <v>628</v>
      </c>
    </row>
    <row r="350" spans="1:5" ht="14.25" customHeight="1">
      <c r="A350" s="13" t="str">
        <f>C350&amp;D350&amp;E350</f>
        <v>T24COREPD_PAYMENT_DUE_HIS_MVORIGINAL_MAT</v>
      </c>
      <c r="B350" s="13" t="s">
        <v>166</v>
      </c>
      <c r="C350" s="13" t="s">
        <v>512</v>
      </c>
      <c r="D350" s="16" t="s">
        <v>634</v>
      </c>
      <c r="E350" s="258" t="s">
        <v>629</v>
      </c>
    </row>
    <row r="351" spans="1:5" ht="14.25" customHeight="1">
      <c r="A351" s="13" t="str">
        <f>C351&amp;D351&amp;E351</f>
        <v>T24COREPD_PAYMENT_DUE_HIS_MVPAY_TYPE</v>
      </c>
      <c r="B351" s="13" t="s">
        <v>166</v>
      </c>
      <c r="C351" s="13" t="s">
        <v>512</v>
      </c>
      <c r="D351" s="16" t="s">
        <v>634</v>
      </c>
      <c r="E351" s="258" t="s">
        <v>636</v>
      </c>
    </row>
    <row r="352" spans="1:5" ht="14.25" customHeight="1">
      <c r="A352" s="13" t="str">
        <f>C352&amp;D352&amp;E352</f>
        <v>T24COREPD_PAYMENT_DUE_HIS_MVPD_TYPE</v>
      </c>
      <c r="B352" s="13" t="s">
        <v>166</v>
      </c>
      <c r="C352" s="13" t="s">
        <v>512</v>
      </c>
      <c r="D352" s="16" t="s">
        <v>634</v>
      </c>
      <c r="E352" s="258" t="s">
        <v>630</v>
      </c>
    </row>
    <row r="353" spans="1:5" ht="14.25" customHeight="1">
      <c r="A353" s="13" t="str">
        <f>C353&amp;D353&amp;E353</f>
        <v>T24COREPD_PAYMENT_DUE_HIS_MVPE_RATE</v>
      </c>
      <c r="B353" s="13" t="s">
        <v>166</v>
      </c>
      <c r="C353" s="13" t="s">
        <v>512</v>
      </c>
      <c r="D353" s="16" t="s">
        <v>634</v>
      </c>
      <c r="E353" s="258" t="s">
        <v>613</v>
      </c>
    </row>
    <row r="354" spans="1:5" ht="14.25" customHeight="1">
      <c r="A354" s="13" t="str">
        <f>C354&amp;D354&amp;E354</f>
        <v>T24COREPD_PAYMENT_DUE_HIS_MVPENALTY_RATE</v>
      </c>
      <c r="B354" s="13" t="s">
        <v>166</v>
      </c>
      <c r="C354" s="13" t="s">
        <v>512</v>
      </c>
      <c r="D354" s="16" t="s">
        <v>634</v>
      </c>
      <c r="E354" s="258" t="s">
        <v>631</v>
      </c>
    </row>
    <row r="355" spans="1:5" ht="14.25" customHeight="1">
      <c r="A355" s="13" t="str">
        <f>C355&amp;D355&amp;E355</f>
        <v>T24COREPD_PAYMENT_DUE_HIS_MVRECID</v>
      </c>
      <c r="B355" s="13" t="s">
        <v>166</v>
      </c>
      <c r="C355" s="13" t="s">
        <v>512</v>
      </c>
      <c r="D355" s="16" t="s">
        <v>634</v>
      </c>
      <c r="E355" s="258" t="s">
        <v>490</v>
      </c>
    </row>
    <row r="356" spans="1:5" ht="14.25" customHeight="1">
      <c r="A356" s="13" t="str">
        <f>C356&amp;D356&amp;E356</f>
        <v>T24COREPD_PAYMENT_DUE_HIS_MVRECORD_STATUS</v>
      </c>
      <c r="B356" s="13" t="s">
        <v>166</v>
      </c>
      <c r="C356" s="13" t="s">
        <v>512</v>
      </c>
      <c r="D356" s="16" t="s">
        <v>634</v>
      </c>
      <c r="E356" s="258" t="s">
        <v>491</v>
      </c>
    </row>
    <row r="357" spans="1:5" ht="14.25" customHeight="1">
      <c r="A357" s="13" t="str">
        <f>C357&amp;D357&amp;E357</f>
        <v>T24COREPD_PAYMENT_DUE_HIS_MVREPAYMENT_ACCT</v>
      </c>
      <c r="B357" s="13" t="s">
        <v>166</v>
      </c>
      <c r="C357" s="13" t="s">
        <v>512</v>
      </c>
      <c r="D357" s="16" t="s">
        <v>634</v>
      </c>
      <c r="E357" s="258" t="s">
        <v>637</v>
      </c>
    </row>
    <row r="358" spans="1:5" ht="14.25" customHeight="1">
      <c r="A358" s="13" t="str">
        <f>C358&amp;D358&amp;E358</f>
        <v>T24COREPD_PAYMENT_DUE_MVACC_FCC</v>
      </c>
      <c r="B358" s="13" t="s">
        <v>166</v>
      </c>
      <c r="C358" s="13" t="s">
        <v>512</v>
      </c>
      <c r="D358" s="16" t="s">
        <v>638</v>
      </c>
      <c r="E358" s="258" t="s">
        <v>507</v>
      </c>
    </row>
    <row r="359" spans="1:5" ht="14.25" customHeight="1">
      <c r="A359" s="13" t="str">
        <f>C359&amp;D359&amp;E359</f>
        <v>T24COREPD_PAYMENT_DUE_MVACC_FCC</v>
      </c>
      <c r="B359" s="13" t="s">
        <v>190</v>
      </c>
      <c r="C359" s="13" t="s">
        <v>512</v>
      </c>
      <c r="D359" s="16" t="s">
        <v>638</v>
      </c>
      <c r="E359" s="258" t="s">
        <v>507</v>
      </c>
    </row>
    <row r="360" spans="1:5" ht="14.25" customHeight="1">
      <c r="A360" s="13" t="str">
        <f>C360&amp;D360&amp;E360</f>
        <v>T24COREPD_PAYMENT_DUE_MVAPPROVE_AMOUNT</v>
      </c>
      <c r="B360" s="13" t="s">
        <v>166</v>
      </c>
      <c r="C360" s="13" t="s">
        <v>512</v>
      </c>
      <c r="D360" s="16" t="s">
        <v>638</v>
      </c>
      <c r="E360" s="258" t="s">
        <v>595</v>
      </c>
    </row>
    <row r="361" spans="1:5" ht="14.25" customHeight="1">
      <c r="A361" s="13" t="str">
        <f>C361&amp;D361&amp;E361</f>
        <v>T24COREPD_PAYMENT_DUE_MVCATEGORY</v>
      </c>
      <c r="B361" s="13" t="s">
        <v>166</v>
      </c>
      <c r="C361" s="13" t="s">
        <v>512</v>
      </c>
      <c r="D361" s="16" t="s">
        <v>638</v>
      </c>
      <c r="E361" s="258" t="s">
        <v>597</v>
      </c>
    </row>
    <row r="362" spans="1:5" ht="14.25" customHeight="1">
      <c r="A362" s="13" t="str">
        <f>C362&amp;D362&amp;E362</f>
        <v>T24COREPD_PAYMENT_DUE_MVCATEGORY</v>
      </c>
      <c r="B362" s="13" t="s">
        <v>190</v>
      </c>
      <c r="C362" s="13" t="s">
        <v>512</v>
      </c>
      <c r="D362" s="16" t="s">
        <v>638</v>
      </c>
      <c r="E362" s="258" t="s">
        <v>597</v>
      </c>
    </row>
    <row r="363" spans="1:5" ht="14.25" customHeight="1">
      <c r="A363" s="13" t="str">
        <f>C363&amp;D363&amp;E363</f>
        <v>T24COREPD_PAYMENT_DUE_MVCO_CODE</v>
      </c>
      <c r="B363" s="13" t="s">
        <v>166</v>
      </c>
      <c r="C363" s="13" t="s">
        <v>512</v>
      </c>
      <c r="D363" s="16" t="s">
        <v>638</v>
      </c>
      <c r="E363" s="258" t="s">
        <v>460</v>
      </c>
    </row>
    <row r="364" spans="1:5" ht="14.25" customHeight="1">
      <c r="A364" s="13" t="str">
        <f>C364&amp;D364&amp;E364</f>
        <v>T24COREPD_PAYMENT_DUE_MVCOMMIT_ACTION</v>
      </c>
      <c r="B364" s="13" t="s">
        <v>166</v>
      </c>
      <c r="C364" s="13" t="s">
        <v>512</v>
      </c>
      <c r="D364" s="16" t="s">
        <v>638</v>
      </c>
      <c r="E364" s="258" t="s">
        <v>461</v>
      </c>
    </row>
    <row r="365" spans="1:5" ht="14.25" customHeight="1">
      <c r="A365" s="13" t="str">
        <f>C365&amp;D365&amp;E365</f>
        <v>T24COREPD_PAYMENT_DUE_MVCREDIT_STATUS</v>
      </c>
      <c r="B365" s="13" t="s">
        <v>166</v>
      </c>
      <c r="C365" s="13" t="s">
        <v>512</v>
      </c>
      <c r="D365" s="16" t="s">
        <v>638</v>
      </c>
      <c r="E365" s="258" t="s">
        <v>627</v>
      </c>
    </row>
    <row r="366" spans="1:5" ht="14.25" customHeight="1">
      <c r="A366" s="13" t="str">
        <f>C366&amp;D366&amp;E366</f>
        <v>T24COREPD_PAYMENT_DUE_MVCREDIT_STATUS</v>
      </c>
      <c r="B366" s="13" t="s">
        <v>190</v>
      </c>
      <c r="C366" s="13" t="s">
        <v>512</v>
      </c>
      <c r="D366" s="16" t="s">
        <v>638</v>
      </c>
      <c r="E366" s="258" t="s">
        <v>627</v>
      </c>
    </row>
    <row r="367" spans="1:5" ht="14.25" customHeight="1">
      <c r="A367" s="13" t="str">
        <f>C367&amp;D367&amp;E367</f>
        <v>T24COREPD_PAYMENT_DUE_MVCURR_NO</v>
      </c>
      <c r="B367" s="13" t="s">
        <v>166</v>
      </c>
      <c r="C367" s="13" t="s">
        <v>512</v>
      </c>
      <c r="D367" s="16" t="s">
        <v>638</v>
      </c>
      <c r="E367" s="258" t="s">
        <v>468</v>
      </c>
    </row>
    <row r="368" spans="1:5" ht="14.25" customHeight="1">
      <c r="A368" s="13" t="str">
        <f>C368&amp;D368&amp;E368</f>
        <v>T24COREPD_PAYMENT_DUE_MVCURR_NO</v>
      </c>
      <c r="B368" s="13" t="s">
        <v>190</v>
      </c>
      <c r="C368" s="13" t="s">
        <v>512</v>
      </c>
      <c r="D368" s="16" t="s">
        <v>638</v>
      </c>
      <c r="E368" s="258" t="s">
        <v>468</v>
      </c>
    </row>
    <row r="369" spans="1:5" ht="14.25" customHeight="1">
      <c r="A369" s="13" t="str">
        <f>C369&amp;D369&amp;E369</f>
        <v>T24COREPD_PAYMENT_DUE_MVCUSTOMER</v>
      </c>
      <c r="B369" s="13" t="s">
        <v>166</v>
      </c>
      <c r="C369" s="13" t="s">
        <v>512</v>
      </c>
      <c r="D369" s="16" t="s">
        <v>638</v>
      </c>
      <c r="E369" s="258" t="s">
        <v>513</v>
      </c>
    </row>
    <row r="370" spans="1:5" ht="14.25" customHeight="1">
      <c r="A370" s="13" t="str">
        <f>C370&amp;D370&amp;E370</f>
        <v>T24COREPD_PAYMENT_DUE_MVDATE_TIME</v>
      </c>
      <c r="B370" s="13" t="s">
        <v>166</v>
      </c>
      <c r="C370" s="13" t="s">
        <v>512</v>
      </c>
      <c r="D370" s="16" t="s">
        <v>638</v>
      </c>
      <c r="E370" s="258" t="s">
        <v>472</v>
      </c>
    </row>
    <row r="371" spans="1:5" ht="14.25" customHeight="1">
      <c r="A371" s="13" t="str">
        <f>C371&amp;D371&amp;E371</f>
        <v>T24COREPD_PAYMENT_DUE_MVDATE_TIME</v>
      </c>
      <c r="B371" s="13" t="s">
        <v>190</v>
      </c>
      <c r="C371" s="13" t="s">
        <v>512</v>
      </c>
      <c r="D371" s="16" t="s">
        <v>638</v>
      </c>
      <c r="E371" s="258" t="s">
        <v>472</v>
      </c>
    </row>
    <row r="372" spans="1:5" ht="14.25" customHeight="1">
      <c r="A372" s="13" t="str">
        <f>C372&amp;D372&amp;E372</f>
        <v>T24COREPD_PAYMENT_DUE_MVFINAL_DUE_DATE</v>
      </c>
      <c r="B372" s="13" t="s">
        <v>166</v>
      </c>
      <c r="C372" s="13" t="s">
        <v>512</v>
      </c>
      <c r="D372" s="16" t="s">
        <v>638</v>
      </c>
      <c r="E372" s="258" t="s">
        <v>635</v>
      </c>
    </row>
    <row r="373" spans="1:5" ht="14.25" customHeight="1">
      <c r="A373" s="13" t="str">
        <f>C373&amp;D373&amp;E373</f>
        <v>T24COREPD_PAYMENT_DUE_MVFLAG_STATUS</v>
      </c>
      <c r="B373" s="13" t="s">
        <v>190</v>
      </c>
      <c r="C373" s="13" t="s">
        <v>512</v>
      </c>
      <c r="D373" s="16" t="s">
        <v>638</v>
      </c>
      <c r="E373" s="258" t="s">
        <v>628</v>
      </c>
    </row>
    <row r="374" spans="1:5" ht="14.25" customHeight="1">
      <c r="A374" s="13" t="str">
        <f>C374&amp;D374&amp;E374</f>
        <v>T24COREPD_PAYMENT_DUE_MVID</v>
      </c>
      <c r="B374" s="13" t="s">
        <v>166</v>
      </c>
      <c r="C374" s="13" t="s">
        <v>512</v>
      </c>
      <c r="D374" s="16" t="s">
        <v>638</v>
      </c>
      <c r="E374" s="258" t="s">
        <v>439</v>
      </c>
    </row>
    <row r="375" spans="1:5" ht="14.25" customHeight="1">
      <c r="A375" s="13" t="str">
        <f>C375&amp;D375&amp;E375</f>
        <v>T24COREPD_PAYMENT_DUE_MVORIGINAL_MAT</v>
      </c>
      <c r="B375" s="13" t="s">
        <v>166</v>
      </c>
      <c r="C375" s="13" t="s">
        <v>512</v>
      </c>
      <c r="D375" s="16" t="s">
        <v>638</v>
      </c>
      <c r="E375" s="258" t="s">
        <v>629</v>
      </c>
    </row>
    <row r="376" spans="1:5" ht="14.25" customHeight="1">
      <c r="A376" s="13" t="str">
        <f>C376&amp;D376&amp;E376</f>
        <v>T24COREPD_PAYMENT_DUE_MVPAY_AMT_OUTS</v>
      </c>
      <c r="B376" s="13" t="s">
        <v>190</v>
      </c>
      <c r="C376" s="13" t="s">
        <v>512</v>
      </c>
      <c r="D376" s="16" t="s">
        <v>638</v>
      </c>
      <c r="E376" s="258" t="s">
        <v>639</v>
      </c>
    </row>
    <row r="377" spans="1:5" ht="14.25" customHeight="1">
      <c r="A377" s="13" t="str">
        <f>C377&amp;D377&amp;E377</f>
        <v>T24COREPD_PAYMENT_DUE_MVPAY_TYPE</v>
      </c>
      <c r="B377" s="13" t="s">
        <v>166</v>
      </c>
      <c r="C377" s="13" t="s">
        <v>512</v>
      </c>
      <c r="D377" s="16" t="s">
        <v>638</v>
      </c>
      <c r="E377" s="258" t="s">
        <v>636</v>
      </c>
    </row>
    <row r="378" spans="1:5" ht="14.25" customHeight="1">
      <c r="A378" s="13" t="str">
        <f>C378&amp;D378&amp;E378</f>
        <v>T24COREPD_PAYMENT_DUE_MVPAY_TYPE</v>
      </c>
      <c r="B378" s="13" t="s">
        <v>190</v>
      </c>
      <c r="C378" s="13" t="s">
        <v>512</v>
      </c>
      <c r="D378" s="16" t="s">
        <v>638</v>
      </c>
      <c r="E378" s="258" t="s">
        <v>636</v>
      </c>
    </row>
    <row r="379" spans="1:5" ht="14.25" customHeight="1">
      <c r="A379" s="13" t="str">
        <f>C379&amp;D379&amp;E379</f>
        <v>T24COREPD_PAYMENT_DUE_MVPAYMENT_DTE_DUE</v>
      </c>
      <c r="B379" s="13" t="s">
        <v>190</v>
      </c>
      <c r="C379" s="13" t="s">
        <v>512</v>
      </c>
      <c r="D379" s="16" t="s">
        <v>638</v>
      </c>
      <c r="E379" s="258" t="s">
        <v>640</v>
      </c>
    </row>
    <row r="380" spans="1:5" ht="14.25" customHeight="1">
      <c r="A380" s="13" t="str">
        <f>C380&amp;D380&amp;E380</f>
        <v>T24COREPD_PAYMENT_DUE_MVPD_TYPE</v>
      </c>
      <c r="B380" s="13" t="s">
        <v>166</v>
      </c>
      <c r="C380" s="13" t="s">
        <v>512</v>
      </c>
      <c r="D380" s="16" t="s">
        <v>638</v>
      </c>
      <c r="E380" s="258" t="s">
        <v>630</v>
      </c>
    </row>
    <row r="381" spans="1:5" ht="14.25" customHeight="1">
      <c r="A381" s="13" t="str">
        <f>C381&amp;D381&amp;E381</f>
        <v>T24COREPD_PAYMENT_DUE_MVPD_TYPE</v>
      </c>
      <c r="B381" s="13" t="s">
        <v>190</v>
      </c>
      <c r="C381" s="13" t="s">
        <v>512</v>
      </c>
      <c r="D381" s="16" t="s">
        <v>638</v>
      </c>
      <c r="E381" s="258" t="s">
        <v>630</v>
      </c>
    </row>
    <row r="382" spans="1:5" ht="14.25" customHeight="1">
      <c r="A382" s="13" t="str">
        <f>C382&amp;D382&amp;E382</f>
        <v>T24COREPD_PAYMENT_DUE_MVPE_RATE</v>
      </c>
      <c r="B382" s="13" t="s">
        <v>166</v>
      </c>
      <c r="C382" s="13" t="s">
        <v>512</v>
      </c>
      <c r="D382" s="16" t="s">
        <v>638</v>
      </c>
      <c r="E382" s="258" t="s">
        <v>613</v>
      </c>
    </row>
    <row r="383" spans="1:5" ht="14.25" customHeight="1">
      <c r="A383" s="13" t="str">
        <f>C383&amp;D383&amp;E383</f>
        <v>T24COREPD_PAYMENT_DUE_MVPENALTY_RATE</v>
      </c>
      <c r="B383" s="13" t="s">
        <v>166</v>
      </c>
      <c r="C383" s="13" t="s">
        <v>512</v>
      </c>
      <c r="D383" s="16" t="s">
        <v>638</v>
      </c>
      <c r="E383" s="258" t="s">
        <v>631</v>
      </c>
    </row>
    <row r="384" spans="1:5" ht="14.25" customHeight="1">
      <c r="A384" s="13" t="str">
        <f>C384&amp;D384&amp;E384</f>
        <v>T24COREPD_PAYMENT_DUE_MVRECID</v>
      </c>
      <c r="B384" s="13" t="s">
        <v>190</v>
      </c>
      <c r="C384" s="13" t="s">
        <v>512</v>
      </c>
      <c r="D384" s="16" t="s">
        <v>638</v>
      </c>
      <c r="E384" s="258" t="s">
        <v>490</v>
      </c>
    </row>
    <row r="385" spans="1:5" ht="14.25" customHeight="1">
      <c r="A385" s="13" t="str">
        <f>C385&amp;D385&amp;E385</f>
        <v>T24COREPD_PAYMENT_DUE_MVRECORD_STATUS</v>
      </c>
      <c r="B385" s="13" t="s">
        <v>190</v>
      </c>
      <c r="C385" s="13" t="s">
        <v>512</v>
      </c>
      <c r="D385" s="16" t="s">
        <v>638</v>
      </c>
      <c r="E385" s="258" t="s">
        <v>491</v>
      </c>
    </row>
    <row r="386" spans="1:5" ht="14.25" customHeight="1">
      <c r="A386" s="13" t="str">
        <f>C386&amp;D386&amp;E386</f>
        <v>T24COREPD_PAYMENT_DUE_MVREPAID_AMT</v>
      </c>
      <c r="B386" s="13" t="s">
        <v>190</v>
      </c>
      <c r="C386" s="13" t="s">
        <v>512</v>
      </c>
      <c r="D386" s="16" t="s">
        <v>638</v>
      </c>
      <c r="E386" s="258" t="s">
        <v>641</v>
      </c>
    </row>
    <row r="387" spans="1:5" ht="14.25" customHeight="1">
      <c r="A387" s="13" t="str">
        <f>C387&amp;D387&amp;E387</f>
        <v>T24COREPD_PAYMENT_DUE_MVREPAYMENT_ACCT</v>
      </c>
      <c r="B387" s="13" t="s">
        <v>166</v>
      </c>
      <c r="C387" s="13" t="s">
        <v>512</v>
      </c>
      <c r="D387" s="16" t="s">
        <v>638</v>
      </c>
      <c r="E387" s="258" t="s">
        <v>637</v>
      </c>
    </row>
    <row r="388" spans="1:5" ht="14.25" customHeight="1">
      <c r="A388" s="13" t="str">
        <f>C388&amp;D388&amp;E388</f>
        <v>T24CORESECTORCUSTOMER_TYPE</v>
      </c>
      <c r="B388" s="13" t="s">
        <v>190</v>
      </c>
      <c r="C388" s="13" t="s">
        <v>512</v>
      </c>
      <c r="D388" s="16" t="s">
        <v>579</v>
      </c>
      <c r="E388" s="258" t="s">
        <v>642</v>
      </c>
    </row>
    <row r="389" spans="1:5" ht="14.25" customHeight="1">
      <c r="A389" s="13" t="str">
        <f>C389&amp;D389&amp;E389</f>
        <v>T24CORESECTORRECID</v>
      </c>
      <c r="B389" s="13" t="s">
        <v>190</v>
      </c>
      <c r="C389" s="13" t="s">
        <v>512</v>
      </c>
      <c r="D389" s="16" t="s">
        <v>579</v>
      </c>
      <c r="E389" s="258" t="s">
        <v>490</v>
      </c>
    </row>
    <row r="390" spans="1:5" ht="14.25" customHeight="1">
      <c r="A390" s="13" t="str">
        <f>C390&amp;D390&amp;E390</f>
        <v>T24CORESTMT_ENTRYAMOUNT_FCY</v>
      </c>
      <c r="B390" s="13" t="s">
        <v>190</v>
      </c>
      <c r="C390" s="13" t="s">
        <v>512</v>
      </c>
      <c r="D390" s="16" t="s">
        <v>643</v>
      </c>
      <c r="E390" s="258" t="s">
        <v>456</v>
      </c>
    </row>
    <row r="391" spans="1:5" ht="14.25" customHeight="1">
      <c r="A391" s="13" t="str">
        <f>C391&amp;D391&amp;E391</f>
        <v>T24CORESTMT_ENTRYAMOUNT_LCY</v>
      </c>
      <c r="B391" s="13" t="s">
        <v>190</v>
      </c>
      <c r="C391" s="13" t="s">
        <v>512</v>
      </c>
      <c r="D391" s="16" t="s">
        <v>643</v>
      </c>
      <c r="E391" s="258" t="s">
        <v>457</v>
      </c>
    </row>
    <row r="392" spans="1:5" ht="14.25" customHeight="1">
      <c r="A392" s="13" t="str">
        <f>C392&amp;D392&amp;E392</f>
        <v>T24CORESTMT_ENTRYBOOKING_DATE</v>
      </c>
      <c r="B392" s="13" t="s">
        <v>190</v>
      </c>
      <c r="C392" s="13" t="s">
        <v>512</v>
      </c>
      <c r="D392" s="16" t="s">
        <v>643</v>
      </c>
      <c r="E392" s="258" t="s">
        <v>420</v>
      </c>
    </row>
    <row r="393" spans="1:5" ht="14.25" customHeight="1">
      <c r="A393" s="13" t="str">
        <f>C393&amp;D393&amp;E393</f>
        <v>T24CORESTMT_ENTRYCURRENCY</v>
      </c>
      <c r="B393" s="13" t="s">
        <v>190</v>
      </c>
      <c r="C393" s="13" t="s">
        <v>512</v>
      </c>
      <c r="D393" s="16" t="s">
        <v>643</v>
      </c>
      <c r="E393" s="258" t="s">
        <v>469</v>
      </c>
    </row>
    <row r="394" spans="1:5" ht="14.25" customHeight="1">
      <c r="A394" s="13" t="str">
        <f>C394&amp;D394&amp;E394</f>
        <v>T24CORESTMT_ENTRYOUR_REFERENCE</v>
      </c>
      <c r="B394" s="13" t="s">
        <v>190</v>
      </c>
      <c r="C394" s="13" t="s">
        <v>512</v>
      </c>
      <c r="D394" s="16" t="s">
        <v>643</v>
      </c>
      <c r="E394" s="258" t="s">
        <v>484</v>
      </c>
    </row>
    <row r="395" spans="1:5" ht="14.25" customHeight="1">
      <c r="A395" s="13" t="str">
        <f>C395&amp;D395&amp;E395</f>
        <v>T24CORESTMT_ENTRYRECID</v>
      </c>
      <c r="B395" s="13" t="s">
        <v>190</v>
      </c>
      <c r="C395" s="13" t="s">
        <v>512</v>
      </c>
      <c r="D395" s="16" t="s">
        <v>643</v>
      </c>
      <c r="E395" s="258" t="s">
        <v>490</v>
      </c>
    </row>
    <row r="396" spans="1:5" ht="14.25" customHeight="1">
      <c r="A396" s="13" t="str">
        <f>C396&amp;D396&amp;E396</f>
        <v>T24CORESTMT_ENTRYTRANSACTION_CODE</v>
      </c>
      <c r="B396" s="13" t="s">
        <v>190</v>
      </c>
      <c r="C396" s="13" t="s">
        <v>512</v>
      </c>
      <c r="D396" s="16" t="s">
        <v>643</v>
      </c>
      <c r="E396" s="258" t="s">
        <v>502</v>
      </c>
    </row>
    <row r="397" spans="1:5" ht="14.25" customHeight="1">
      <c r="A397" s="13" t="str">
        <f>C397&amp;D397&amp;E397</f>
        <v>T24CORESTMT_ENTRYVALUE_DATE</v>
      </c>
      <c r="B397" s="13" t="s">
        <v>190</v>
      </c>
      <c r="C397" s="13" t="s">
        <v>512</v>
      </c>
      <c r="D397" s="16" t="s">
        <v>643</v>
      </c>
      <c r="E397" s="258" t="s">
        <v>504</v>
      </c>
    </row>
    <row r="398" spans="1:5" ht="14.25" customHeight="1"/>
    <row r="399" spans="1:5" ht="14.25" customHeight="1"/>
    <row r="400" spans="1:5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B1:B1000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00"/>
  <sheetViews>
    <sheetView topLeftCell="A6" workbookViewId="0"/>
  </sheetViews>
  <sheetFormatPr defaultColWidth="14.42578125" defaultRowHeight="15" customHeight="1"/>
  <cols>
    <col min="1" max="1" width="47.5703125" style="259" customWidth="1"/>
    <col min="2" max="2" width="13.7109375" style="259" customWidth="1"/>
    <col min="3" max="3" width="39.7109375" style="259" customWidth="1"/>
    <col min="4" max="5" width="33.7109375" style="259" customWidth="1"/>
    <col min="6" max="6" width="9.5703125" style="259" customWidth="1"/>
    <col min="7" max="7" width="40.140625" style="259" customWidth="1"/>
    <col min="8" max="8" width="59.140625" style="259" customWidth="1"/>
    <col min="9" max="9" width="13.140625" style="259" customWidth="1"/>
    <col min="10" max="10" width="17.85546875" style="259" customWidth="1"/>
    <col min="11" max="27" width="8.7109375" style="259" customWidth="1"/>
  </cols>
  <sheetData>
    <row r="1" spans="1:11" ht="14.25" customHeight="1">
      <c r="A1" s="15"/>
      <c r="B1" s="15" t="s">
        <v>406</v>
      </c>
      <c r="C1" s="15" t="s">
        <v>407</v>
      </c>
      <c r="D1" s="15" t="s">
        <v>408</v>
      </c>
      <c r="E1" s="277" t="s">
        <v>644</v>
      </c>
      <c r="F1" s="278" t="s">
        <v>645</v>
      </c>
      <c r="G1" s="279" t="s">
        <v>646</v>
      </c>
      <c r="H1" s="279" t="s">
        <v>647</v>
      </c>
      <c r="I1" s="21" t="s">
        <v>402</v>
      </c>
      <c r="J1" s="13" t="s">
        <v>648</v>
      </c>
      <c r="K1" s="13" t="s">
        <v>649</v>
      </c>
    </row>
    <row r="2" spans="1:11" ht="14.25" customHeight="1">
      <c r="A2" s="258" t="str">
        <f>B2&amp;C2&amp;D2</f>
        <v>EBANKINGCOL_UDF_VALUE@PGDBCOL_REF</v>
      </c>
      <c r="B2" s="258" t="s">
        <v>409</v>
      </c>
      <c r="C2" s="258" t="s">
        <v>410</v>
      </c>
      <c r="D2" s="258" t="s">
        <v>411</v>
      </c>
      <c r="E2" s="13" t="s">
        <v>650</v>
      </c>
      <c r="F2" s="13" t="s">
        <v>651</v>
      </c>
      <c r="G2" s="13" t="s">
        <v>74</v>
      </c>
      <c r="H2" s="13" t="s">
        <v>652</v>
      </c>
      <c r="I2" s="13" t="s">
        <v>653</v>
      </c>
      <c r="J2" s="13" t="s">
        <v>654</v>
      </c>
      <c r="K2" s="22">
        <v>45972</v>
      </c>
    </row>
    <row r="3" spans="1:11" ht="14.25" customHeight="1">
      <c r="A3" s="258" t="str">
        <f>B3&amp;C3&amp;D3</f>
        <v>EBANKINGCOL_UDF_VALUE@PGDBFUNCTION_CODE</v>
      </c>
      <c r="B3" s="258" t="s">
        <v>409</v>
      </c>
      <c r="C3" s="16" t="s">
        <v>410</v>
      </c>
      <c r="D3" s="258" t="s">
        <v>412</v>
      </c>
      <c r="E3" s="13" t="s">
        <v>655</v>
      </c>
      <c r="F3" s="13" t="s">
        <v>651</v>
      </c>
      <c r="I3" s="13" t="s">
        <v>653</v>
      </c>
    </row>
    <row r="4" spans="1:11" ht="14.25" customHeight="1">
      <c r="A4" s="258" t="str">
        <f>B4&amp;C4&amp;D4</f>
        <v>EBANKINGCOL_UDF_VALUE@PGDBUDF_VALUE</v>
      </c>
      <c r="B4" s="258" t="s">
        <v>409</v>
      </c>
      <c r="C4" s="16" t="s">
        <v>410</v>
      </c>
      <c r="D4" s="258" t="s">
        <v>413</v>
      </c>
      <c r="E4" s="13" t="s">
        <v>656</v>
      </c>
      <c r="F4" s="13" t="s">
        <v>651</v>
      </c>
      <c r="G4" s="13" t="s">
        <v>74</v>
      </c>
      <c r="H4" s="13" t="s">
        <v>657</v>
      </c>
      <c r="I4" s="13" t="s">
        <v>653</v>
      </c>
      <c r="K4" s="22">
        <v>45972</v>
      </c>
    </row>
    <row r="5" spans="1:11" ht="14.25" customHeight="1">
      <c r="A5" s="258"/>
      <c r="B5" s="258" t="s">
        <v>409</v>
      </c>
      <c r="C5" s="16" t="s">
        <v>410</v>
      </c>
      <c r="D5" s="258" t="s">
        <v>658</v>
      </c>
      <c r="E5" s="13" t="s">
        <v>659</v>
      </c>
      <c r="F5" s="13" t="s">
        <v>651</v>
      </c>
      <c r="I5" s="13"/>
    </row>
    <row r="6" spans="1:11" ht="14.25" customHeight="1">
      <c r="A6" s="258" t="str">
        <f>B6&amp;C6&amp;D6</f>
        <v>FLEXBOPGB_CONTRACT_UDF_MAPCONTRACT_REF_NO</v>
      </c>
      <c r="B6" s="258" t="s">
        <v>414</v>
      </c>
      <c r="C6" s="16" t="s">
        <v>415</v>
      </c>
      <c r="D6" s="258" t="s">
        <v>416</v>
      </c>
      <c r="E6" s="13" t="s">
        <v>660</v>
      </c>
      <c r="F6" s="13" t="s">
        <v>651</v>
      </c>
      <c r="G6" s="13" t="s">
        <v>74</v>
      </c>
      <c r="H6" s="13" t="s">
        <v>652</v>
      </c>
      <c r="I6" s="13" t="s">
        <v>653</v>
      </c>
      <c r="K6" s="22">
        <v>45972</v>
      </c>
    </row>
    <row r="7" spans="1:11" ht="14.25" customHeight="1">
      <c r="A7" s="258" t="str">
        <f>B7&amp;C7&amp;D7</f>
        <v>FLEXBOPGB_CONTRACT_UDF_MAPFIELD_NAME</v>
      </c>
      <c r="B7" s="258" t="s">
        <v>414</v>
      </c>
      <c r="C7" s="16" t="s">
        <v>415</v>
      </c>
      <c r="D7" s="258" t="s">
        <v>417</v>
      </c>
      <c r="E7" s="13" t="s">
        <v>661</v>
      </c>
      <c r="F7" s="13" t="s">
        <v>651</v>
      </c>
      <c r="I7" s="13" t="s">
        <v>653</v>
      </c>
    </row>
    <row r="8" spans="1:11" ht="14.25" customHeight="1">
      <c r="A8" s="258" t="str">
        <f>B8&amp;C8&amp;D8</f>
        <v>FLEXBOPGB_CONTRACT_UDF_MAPFIELD_VAL</v>
      </c>
      <c r="B8" s="258" t="s">
        <v>414</v>
      </c>
      <c r="C8" s="16" t="s">
        <v>415</v>
      </c>
      <c r="D8" s="258" t="s">
        <v>418</v>
      </c>
      <c r="E8" s="13" t="s">
        <v>662</v>
      </c>
      <c r="F8" s="13" t="s">
        <v>651</v>
      </c>
      <c r="G8" s="13" t="s">
        <v>74</v>
      </c>
      <c r="H8" s="13" t="s">
        <v>663</v>
      </c>
      <c r="I8" s="13" t="s">
        <v>653</v>
      </c>
      <c r="K8" s="22">
        <v>45972</v>
      </c>
    </row>
    <row r="9" spans="1:11" ht="14.25" customHeight="1">
      <c r="A9" s="258" t="str">
        <f>B9&amp;C9&amp;D9</f>
        <v>FLEXBOPGB_CONTRACT_UDF_MAPFIELD_VAL</v>
      </c>
      <c r="B9" s="258" t="s">
        <v>414</v>
      </c>
      <c r="C9" s="16" t="s">
        <v>415</v>
      </c>
      <c r="D9" s="258" t="s">
        <v>418</v>
      </c>
      <c r="E9" s="13" t="s">
        <v>662</v>
      </c>
      <c r="F9" s="13" t="s">
        <v>651</v>
      </c>
      <c r="G9" s="13" t="s">
        <v>74</v>
      </c>
      <c r="H9" s="13" t="s">
        <v>664</v>
      </c>
      <c r="I9" s="13"/>
      <c r="K9" s="22"/>
    </row>
    <row r="10" spans="1:11" ht="14.25" customHeight="1">
      <c r="A10" s="258" t="str">
        <f>B10&amp;C10&amp;D10</f>
        <v>FLEXBOPGB_LDTB_CONTRACT_MASTERBOOKING_DATE</v>
      </c>
      <c r="B10" s="258" t="s">
        <v>414</v>
      </c>
      <c r="C10" s="16" t="s">
        <v>419</v>
      </c>
      <c r="D10" s="258" t="s">
        <v>420</v>
      </c>
      <c r="E10" s="13" t="s">
        <v>665</v>
      </c>
      <c r="F10" s="13" t="s">
        <v>651</v>
      </c>
      <c r="G10" s="13" t="s">
        <v>69</v>
      </c>
      <c r="H10" s="13" t="s">
        <v>666</v>
      </c>
      <c r="I10" s="13" t="s">
        <v>653</v>
      </c>
      <c r="K10" s="22">
        <v>45972</v>
      </c>
    </row>
    <row r="11" spans="1:11" ht="14.25" customHeight="1">
      <c r="A11" s="258" t="str">
        <f>B11&amp;C11&amp;D11</f>
        <v>FLEXBOPGB_LDTB_CONTRACT_MASTERCONTRACT_REF_NO</v>
      </c>
      <c r="B11" s="258" t="s">
        <v>414</v>
      </c>
      <c r="C11" s="16" t="s">
        <v>419</v>
      </c>
      <c r="D11" s="258" t="s">
        <v>416</v>
      </c>
      <c r="E11" s="13" t="s">
        <v>667</v>
      </c>
      <c r="F11" s="13" t="s">
        <v>651</v>
      </c>
      <c r="G11" s="13" t="s">
        <v>69</v>
      </c>
      <c r="H11" s="13" t="s">
        <v>652</v>
      </c>
      <c r="I11" s="13" t="s">
        <v>653</v>
      </c>
      <c r="K11" s="22">
        <v>45972</v>
      </c>
    </row>
    <row r="12" spans="1:11" ht="14.25" customHeight="1">
      <c r="A12" s="258" t="str">
        <f>B12&amp;C12&amp;D12</f>
        <v>FLEXBOPGB_LDTB_CONTRACT_MASTERVERSION_NO</v>
      </c>
      <c r="B12" s="258" t="s">
        <v>414</v>
      </c>
      <c r="C12" s="16" t="s">
        <v>419</v>
      </c>
      <c r="D12" s="258" t="s">
        <v>421</v>
      </c>
      <c r="E12" s="13" t="s">
        <v>668</v>
      </c>
      <c r="F12" s="13" t="s">
        <v>651</v>
      </c>
      <c r="I12" s="13" t="s">
        <v>653</v>
      </c>
    </row>
    <row r="13" spans="1:11" ht="14.25" customHeight="1">
      <c r="A13" s="258" t="str">
        <f>B13&amp;C13&amp;D13</f>
        <v>FLEXBOPGB_LOS_CONTRACT_FIELDS_TDATECAN_BO_DE_XUAT_GN</v>
      </c>
      <c r="B13" s="16" t="s">
        <v>414</v>
      </c>
      <c r="C13" s="16" t="s">
        <v>422</v>
      </c>
      <c r="D13" s="258" t="s">
        <v>423</v>
      </c>
      <c r="E13" s="13" t="s">
        <v>669</v>
      </c>
      <c r="F13" s="13" t="s">
        <v>651</v>
      </c>
      <c r="G13" s="13" t="s">
        <v>670</v>
      </c>
      <c r="H13" s="13" t="s">
        <v>671</v>
      </c>
      <c r="I13" s="13" t="s">
        <v>653</v>
      </c>
      <c r="K13" s="22">
        <v>45979</v>
      </c>
    </row>
    <row r="14" spans="1:11" ht="14.25" customHeight="1">
      <c r="A14" s="258" t="str">
        <f>B14&amp;C14&amp;D14</f>
        <v>FLEXBOPGB_LOS_CONTRACT_FIELDS_TDATECAR_APPLICATION_CODE</v>
      </c>
      <c r="B14" s="16" t="s">
        <v>414</v>
      </c>
      <c r="C14" s="16" t="s">
        <v>422</v>
      </c>
      <c r="D14" s="258" t="s">
        <v>424</v>
      </c>
      <c r="E14" s="13" t="s">
        <v>672</v>
      </c>
      <c r="F14" s="13" t="s">
        <v>651</v>
      </c>
      <c r="G14" s="13" t="s">
        <v>74</v>
      </c>
      <c r="H14" s="13" t="s">
        <v>673</v>
      </c>
      <c r="I14" s="13" t="s">
        <v>653</v>
      </c>
      <c r="K14" s="22">
        <v>45972</v>
      </c>
    </row>
    <row r="15" spans="1:11" ht="14.25" customHeight="1">
      <c r="A15" s="258" t="str">
        <f>B15&amp;C15&amp;D15</f>
        <v>FLEXBOPGB_LOS_CONTRACT_FIELDS_TDATECONTRACT_REF_NO</v>
      </c>
      <c r="B15" s="16" t="s">
        <v>414</v>
      </c>
      <c r="C15" s="16" t="s">
        <v>422</v>
      </c>
      <c r="D15" s="258" t="s">
        <v>416</v>
      </c>
      <c r="E15" s="13" t="s">
        <v>674</v>
      </c>
      <c r="F15" s="13" t="s">
        <v>651</v>
      </c>
      <c r="G15" s="13" t="s">
        <v>74</v>
      </c>
      <c r="H15" s="13" t="s">
        <v>652</v>
      </c>
      <c r="I15" s="13" t="s">
        <v>653</v>
      </c>
      <c r="K15" s="22">
        <v>45972</v>
      </c>
    </row>
    <row r="16" spans="1:11" ht="14.25" customHeight="1">
      <c r="A16" s="258" t="str">
        <f>B16&amp;C16&amp;D16</f>
        <v>FLEXBOPGB_LOS_CONTRACT_FIELDS_TDATELOS_CONTRACT_CODE</v>
      </c>
      <c r="B16" s="16" t="s">
        <v>414</v>
      </c>
      <c r="C16" s="16" t="s">
        <v>422</v>
      </c>
      <c r="D16" s="258" t="s">
        <v>425</v>
      </c>
      <c r="E16" s="13" t="s">
        <v>675</v>
      </c>
      <c r="F16" s="13" t="s">
        <v>651</v>
      </c>
      <c r="G16" s="13" t="s">
        <v>74</v>
      </c>
      <c r="H16" s="13" t="s">
        <v>676</v>
      </c>
      <c r="I16" s="13" t="s">
        <v>653</v>
      </c>
      <c r="K16" s="22">
        <v>45972</v>
      </c>
    </row>
    <row r="17" spans="1:11" ht="14.25" customHeight="1">
      <c r="A17" s="258" t="str">
        <f>B17&amp;C17&amp;D17</f>
        <v>FLEXBOPGB_LOS_CONTRACT_FIELDS_TDATELOS_CONTRACT_ID</v>
      </c>
      <c r="B17" s="16" t="s">
        <v>414</v>
      </c>
      <c r="C17" s="16" t="s">
        <v>422</v>
      </c>
      <c r="D17" s="258" t="s">
        <v>677</v>
      </c>
      <c r="E17" s="13" t="s">
        <v>678</v>
      </c>
      <c r="F17" s="13" t="s">
        <v>651</v>
      </c>
      <c r="G17" s="13" t="s">
        <v>74</v>
      </c>
      <c r="H17" s="13" t="s">
        <v>679</v>
      </c>
      <c r="I17" s="13"/>
      <c r="K17" s="22">
        <v>45978</v>
      </c>
    </row>
    <row r="18" spans="1:11" ht="14.25" customHeight="1">
      <c r="A18" s="258" t="str">
        <f>B18&amp;C18&amp;D18</f>
        <v>FLEXBOPGB_LOS_CONTRACT_FIELDS_TDATEMDVAY_NKT</v>
      </c>
      <c r="B18" s="16" t="s">
        <v>414</v>
      </c>
      <c r="C18" s="16" t="s">
        <v>422</v>
      </c>
      <c r="D18" s="258" t="s">
        <v>426</v>
      </c>
      <c r="E18" s="13" t="s">
        <v>680</v>
      </c>
      <c r="F18" s="13" t="s">
        <v>651</v>
      </c>
      <c r="G18" s="13" t="s">
        <v>74</v>
      </c>
      <c r="H18" s="23" t="s">
        <v>681</v>
      </c>
      <c r="I18" s="13" t="s">
        <v>653</v>
      </c>
      <c r="K18" s="22">
        <v>45972</v>
      </c>
    </row>
    <row r="19" spans="1:11" ht="14.25" customHeight="1">
      <c r="A19" s="258" t="str">
        <f>B19&amp;C19&amp;D19</f>
        <v>FLEXBOPGB_LOS_CONTRACT_FIELDS_TDATEMDVAY_SP</v>
      </c>
      <c r="B19" s="17" t="s">
        <v>414</v>
      </c>
      <c r="C19" s="17" t="s">
        <v>422</v>
      </c>
      <c r="D19" s="280" t="s">
        <v>427</v>
      </c>
      <c r="E19" s="13" t="s">
        <v>682</v>
      </c>
      <c r="F19" s="13" t="s">
        <v>651</v>
      </c>
      <c r="G19" s="13" t="s">
        <v>69</v>
      </c>
      <c r="H19" s="13" t="s">
        <v>683</v>
      </c>
      <c r="I19" s="13" t="s">
        <v>653</v>
      </c>
      <c r="J19" s="13" t="s">
        <v>684</v>
      </c>
      <c r="K19" s="22">
        <v>45975</v>
      </c>
    </row>
    <row r="20" spans="1:11" ht="14.25" customHeight="1">
      <c r="A20" s="258" t="str">
        <f>B20&amp;C20&amp;D20</f>
        <v>FLEXBOPGB_LOS_CONTRACT_FIELDS_TDATEMOV_DATE</v>
      </c>
      <c r="B20" s="16" t="s">
        <v>414</v>
      </c>
      <c r="C20" s="16" t="s">
        <v>422</v>
      </c>
      <c r="D20" s="258" t="s">
        <v>428</v>
      </c>
      <c r="E20" s="13" t="s">
        <v>247</v>
      </c>
      <c r="F20" s="13" t="s">
        <v>651</v>
      </c>
      <c r="I20" s="13" t="s">
        <v>653</v>
      </c>
      <c r="K20" s="22">
        <v>45972</v>
      </c>
    </row>
    <row r="21" spans="1:11" ht="14.25" customHeight="1">
      <c r="A21" s="258" t="str">
        <f>B21&amp;C21&amp;D21</f>
        <v>FLEXBOPGB_LOS_CONTRACT_FIELDS_TDATETT_PP_DE_XUAT_GN</v>
      </c>
      <c r="B21" s="16" t="s">
        <v>414</v>
      </c>
      <c r="C21" s="16" t="s">
        <v>422</v>
      </c>
      <c r="D21" s="258" t="s">
        <v>429</v>
      </c>
      <c r="E21" s="13" t="s">
        <v>685</v>
      </c>
      <c r="F21" s="13" t="s">
        <v>651</v>
      </c>
      <c r="G21" s="13" t="s">
        <v>670</v>
      </c>
      <c r="H21" s="13" t="s">
        <v>686</v>
      </c>
      <c r="I21" s="13" t="s">
        <v>653</v>
      </c>
      <c r="K21" s="22">
        <v>45979</v>
      </c>
    </row>
    <row r="22" spans="1:11" ht="14.25" customHeight="1">
      <c r="A22" s="258" t="str">
        <f>B22&amp;C22&amp;D22</f>
        <v>FLEXBOPGB_LOS_CONTRACT_FIELDS_TDATEBDS_TT11</v>
      </c>
      <c r="B22" s="16" t="s">
        <v>414</v>
      </c>
      <c r="C22" s="16" t="s">
        <v>422</v>
      </c>
      <c r="D22" s="258" t="s">
        <v>687</v>
      </c>
      <c r="E22" s="13" t="s">
        <v>688</v>
      </c>
      <c r="F22" s="13"/>
      <c r="I22" s="13"/>
      <c r="K22" s="22"/>
    </row>
    <row r="23" spans="1:11" ht="14.25" customHeight="1">
      <c r="A23" s="258"/>
      <c r="B23" s="16" t="s">
        <v>414</v>
      </c>
      <c r="C23" s="16" t="s">
        <v>422</v>
      </c>
      <c r="D23" s="258" t="s">
        <v>689</v>
      </c>
      <c r="E23" s="13" t="s">
        <v>690</v>
      </c>
      <c r="F23" s="13"/>
      <c r="G23" s="13" t="s">
        <v>69</v>
      </c>
      <c r="H23" s="13" t="s">
        <v>691</v>
      </c>
      <c r="I23" s="13"/>
      <c r="J23" s="13" t="s">
        <v>692</v>
      </c>
      <c r="K23" s="22">
        <v>45979</v>
      </c>
    </row>
    <row r="24" spans="1:11" ht="14.25" customHeight="1">
      <c r="A24" s="258"/>
      <c r="B24" s="17" t="s">
        <v>414</v>
      </c>
      <c r="C24" s="17" t="s">
        <v>422</v>
      </c>
      <c r="D24" s="280" t="s">
        <v>693</v>
      </c>
      <c r="E24" s="13" t="s">
        <v>694</v>
      </c>
      <c r="F24" s="13"/>
      <c r="G24" s="13" t="s">
        <v>207</v>
      </c>
      <c r="H24" s="13" t="s">
        <v>695</v>
      </c>
      <c r="I24" s="13"/>
      <c r="K24" s="22">
        <v>45979</v>
      </c>
    </row>
    <row r="25" spans="1:11" ht="14.25" customHeight="1">
      <c r="A25" s="258"/>
      <c r="B25" s="17" t="s">
        <v>414</v>
      </c>
      <c r="C25" s="17" t="s">
        <v>422</v>
      </c>
      <c r="D25" s="280" t="s">
        <v>696</v>
      </c>
      <c r="E25" s="13" t="s">
        <v>697</v>
      </c>
      <c r="F25" s="13"/>
      <c r="G25" s="13" t="s">
        <v>69</v>
      </c>
      <c r="H25" s="13" t="s">
        <v>691</v>
      </c>
      <c r="I25" s="13"/>
      <c r="J25" s="13" t="s">
        <v>698</v>
      </c>
      <c r="K25" s="22">
        <v>45979</v>
      </c>
    </row>
    <row r="26" spans="1:11" ht="14.25" customHeight="1">
      <c r="A26" s="258"/>
      <c r="B26" s="17" t="s">
        <v>414</v>
      </c>
      <c r="C26" s="17" t="s">
        <v>422</v>
      </c>
      <c r="D26" s="280" t="s">
        <v>699</v>
      </c>
      <c r="E26" s="13"/>
      <c r="F26" s="13"/>
      <c r="G26" s="13" t="s">
        <v>670</v>
      </c>
      <c r="H26" s="13" t="s">
        <v>700</v>
      </c>
      <c r="I26" s="13"/>
      <c r="K26" s="22">
        <v>45979</v>
      </c>
    </row>
    <row r="27" spans="1:11" ht="14.25" customHeight="1">
      <c r="A27" s="258"/>
      <c r="B27" s="17" t="s">
        <v>414</v>
      </c>
      <c r="C27" s="17" t="s">
        <v>422</v>
      </c>
      <c r="D27" s="280" t="s">
        <v>701</v>
      </c>
      <c r="E27" s="13"/>
      <c r="F27" s="13"/>
      <c r="G27" s="13" t="s">
        <v>670</v>
      </c>
      <c r="H27" s="13" t="s">
        <v>702</v>
      </c>
      <c r="I27" s="13"/>
      <c r="K27" s="22">
        <v>45979</v>
      </c>
    </row>
    <row r="28" spans="1:11" ht="14.25" customHeight="1">
      <c r="A28" s="258"/>
      <c r="B28" s="17" t="s">
        <v>414</v>
      </c>
      <c r="C28" s="17" t="s">
        <v>422</v>
      </c>
      <c r="D28" s="280" t="s">
        <v>703</v>
      </c>
      <c r="E28" s="13"/>
      <c r="F28" s="13"/>
      <c r="G28" s="13" t="s">
        <v>670</v>
      </c>
      <c r="H28" s="13" t="s">
        <v>704</v>
      </c>
      <c r="I28" s="13"/>
      <c r="K28" s="22">
        <v>45979</v>
      </c>
    </row>
    <row r="29" spans="1:11" ht="14.25" customHeight="1">
      <c r="A29" s="258"/>
      <c r="B29" s="17" t="s">
        <v>414</v>
      </c>
      <c r="C29" s="17" t="s">
        <v>422</v>
      </c>
      <c r="D29" s="280" t="s">
        <v>705</v>
      </c>
      <c r="E29" s="13"/>
      <c r="F29" s="13"/>
      <c r="G29" s="13" t="s">
        <v>74</v>
      </c>
      <c r="H29" s="13" t="s">
        <v>706</v>
      </c>
      <c r="I29" s="13"/>
      <c r="K29" s="22">
        <v>45979</v>
      </c>
    </row>
    <row r="30" spans="1:11" ht="14.25" customHeight="1">
      <c r="A30" s="258"/>
      <c r="B30" s="17" t="s">
        <v>414</v>
      </c>
      <c r="C30" s="17" t="s">
        <v>422</v>
      </c>
      <c r="D30" s="280" t="s">
        <v>707</v>
      </c>
      <c r="E30" s="13" t="s">
        <v>708</v>
      </c>
      <c r="F30" s="13"/>
      <c r="G30" s="13" t="s">
        <v>74</v>
      </c>
      <c r="H30" s="13" t="s">
        <v>663</v>
      </c>
      <c r="I30" s="13"/>
      <c r="J30" s="13" t="s">
        <v>709</v>
      </c>
      <c r="K30" s="22">
        <v>45979</v>
      </c>
    </row>
    <row r="31" spans="1:11" ht="14.25" customHeight="1">
      <c r="A31" s="258" t="str">
        <f>B31&amp;C31&amp;D31</f>
        <v>FLEXBOPGBLD_CONTRACT_UDFIELD_HISTCONTRACT_REF_NO</v>
      </c>
      <c r="B31" s="258" t="s">
        <v>414</v>
      </c>
      <c r="C31" s="16" t="s">
        <v>430</v>
      </c>
      <c r="D31" s="258" t="s">
        <v>416</v>
      </c>
      <c r="E31" s="13" t="s">
        <v>249</v>
      </c>
      <c r="F31" s="13" t="s">
        <v>651</v>
      </c>
      <c r="G31" s="13" t="s">
        <v>74</v>
      </c>
      <c r="H31" s="13" t="s">
        <v>652</v>
      </c>
      <c r="I31" s="13" t="s">
        <v>653</v>
      </c>
      <c r="K31" s="22">
        <v>45972</v>
      </c>
    </row>
    <row r="32" spans="1:11" ht="14.25" customHeight="1">
      <c r="A32" s="258" t="str">
        <f>B32&amp;C32&amp;D32</f>
        <v>FLEXBOPGBLD_CONTRACT_UDFIELD_HISTCT_KHUYEN_MAI_CHO_VAY</v>
      </c>
      <c r="B32" s="258" t="s">
        <v>414</v>
      </c>
      <c r="C32" s="16" t="s">
        <v>430</v>
      </c>
      <c r="D32" s="258" t="s">
        <v>431</v>
      </c>
      <c r="E32" s="13" t="s">
        <v>710</v>
      </c>
      <c r="F32" s="13" t="s">
        <v>651</v>
      </c>
      <c r="G32" s="13" t="s">
        <v>74</v>
      </c>
      <c r="H32" s="13" t="s">
        <v>711</v>
      </c>
      <c r="I32" s="13" t="s">
        <v>653</v>
      </c>
      <c r="K32" s="22">
        <v>45972</v>
      </c>
    </row>
    <row r="33" spans="1:11" ht="14.25" customHeight="1">
      <c r="A33" s="258" t="str">
        <f>B33&amp;C33&amp;D33</f>
        <v>FLEXBOPGBLD_CONTRACT_UDFIELD_HISTCTKM2</v>
      </c>
      <c r="B33" s="258" t="s">
        <v>414</v>
      </c>
      <c r="C33" s="16" t="s">
        <v>430</v>
      </c>
      <c r="D33" s="258" t="s">
        <v>432</v>
      </c>
      <c r="E33" s="13" t="s">
        <v>712</v>
      </c>
      <c r="F33" s="13" t="s">
        <v>651</v>
      </c>
      <c r="G33" s="13" t="s">
        <v>74</v>
      </c>
      <c r="H33" s="13" t="s">
        <v>713</v>
      </c>
      <c r="I33" s="13" t="s">
        <v>653</v>
      </c>
      <c r="K33" s="22">
        <v>45972</v>
      </c>
    </row>
    <row r="34" spans="1:11" ht="14.25" customHeight="1">
      <c r="A34" s="258" t="str">
        <f>B34&amp;C34&amp;D34</f>
        <v>FLEXBOPGBLD_CONTRACT_UDFIELD_HISTMOV_DATE</v>
      </c>
      <c r="B34" s="258" t="s">
        <v>414</v>
      </c>
      <c r="C34" s="16" t="s">
        <v>430</v>
      </c>
      <c r="D34" s="258" t="s">
        <v>428</v>
      </c>
      <c r="E34" s="13" t="s">
        <v>714</v>
      </c>
      <c r="F34" s="13" t="s">
        <v>651</v>
      </c>
      <c r="I34" s="13" t="s">
        <v>653</v>
      </c>
      <c r="K34" s="22">
        <v>45972</v>
      </c>
    </row>
    <row r="35" spans="1:11" ht="14.25" customHeight="1">
      <c r="A35" s="258" t="str">
        <f>B35&amp;C35&amp;D35</f>
        <v>T24COREMB_MG_SAVING_MULTILD_ID</v>
      </c>
      <c r="B35" s="17" t="s">
        <v>512</v>
      </c>
      <c r="C35" s="17" t="s">
        <v>624</v>
      </c>
      <c r="D35" s="258" t="s">
        <v>625</v>
      </c>
      <c r="E35" s="13" t="s">
        <v>667</v>
      </c>
      <c r="F35" s="13"/>
      <c r="G35" s="13" t="s">
        <v>69</v>
      </c>
      <c r="H35" s="13" t="s">
        <v>652</v>
      </c>
      <c r="I35" s="13"/>
      <c r="K35" s="22">
        <v>45972</v>
      </c>
    </row>
    <row r="36" spans="1:11" ht="14.25" customHeight="1">
      <c r="A36" s="258" t="str">
        <f>B36&amp;C36&amp;D36</f>
        <v>T24COREMB_MG_SAVING_MULTIPRODUCTGR_CODE</v>
      </c>
      <c r="B36" s="16" t="s">
        <v>512</v>
      </c>
      <c r="C36" s="16" t="s">
        <v>624</v>
      </c>
      <c r="D36" s="258" t="s">
        <v>615</v>
      </c>
      <c r="E36" s="13" t="s">
        <v>715</v>
      </c>
      <c r="F36" s="13"/>
      <c r="H36" s="13" t="s">
        <v>716</v>
      </c>
      <c r="I36" s="13"/>
      <c r="K36" s="22">
        <v>45973</v>
      </c>
    </row>
    <row r="37" spans="1:11" ht="14.25" customHeight="1">
      <c r="A37" s="258" t="str">
        <f>B37&amp;C37&amp;D37</f>
        <v>T24COREMB_MG_SAVING_MULTIMB_LD_TYPE</v>
      </c>
      <c r="B37" s="16" t="s">
        <v>512</v>
      </c>
      <c r="C37" s="16" t="s">
        <v>624</v>
      </c>
      <c r="D37" s="258" t="s">
        <v>717</v>
      </c>
      <c r="E37" s="13" t="s">
        <v>718</v>
      </c>
      <c r="F37" s="13"/>
      <c r="G37" s="13" t="s">
        <v>74</v>
      </c>
      <c r="H37" s="13" t="s">
        <v>719</v>
      </c>
      <c r="I37" s="13"/>
      <c r="K37" s="22">
        <v>45972</v>
      </c>
    </row>
    <row r="38" spans="1:11" ht="14.25" customHeight="1">
      <c r="A38" s="258" t="str">
        <f>B38&amp;C38&amp;D38</f>
        <v>FLEXBOPGBLD_RT_CONTRACT_UDFIELD_HISTCO_CAU_NO</v>
      </c>
      <c r="B38" s="258" t="s">
        <v>414</v>
      </c>
      <c r="C38" s="16" t="s">
        <v>433</v>
      </c>
      <c r="D38" s="258" t="s">
        <v>434</v>
      </c>
      <c r="E38" s="13" t="s">
        <v>720</v>
      </c>
      <c r="F38" s="13" t="s">
        <v>721</v>
      </c>
      <c r="G38" s="13" t="s">
        <v>74</v>
      </c>
      <c r="H38" s="13" t="s">
        <v>722</v>
      </c>
      <c r="I38" s="13" t="s">
        <v>653</v>
      </c>
      <c r="K38" s="22">
        <v>45973</v>
      </c>
    </row>
    <row r="39" spans="1:11" ht="14.25" customHeight="1">
      <c r="A39" s="258" t="str">
        <f>B39&amp;C39&amp;D39</f>
        <v>FLEXBOPGBLD_RT_CONTRACT_UDFIELD_HISTCONTRACT_REF_NO</v>
      </c>
      <c r="B39" s="258" t="s">
        <v>414</v>
      </c>
      <c r="C39" s="16" t="s">
        <v>433</v>
      </c>
      <c r="D39" s="258" t="s">
        <v>416</v>
      </c>
      <c r="E39" s="13" t="s">
        <v>667</v>
      </c>
      <c r="F39" s="13" t="s">
        <v>651</v>
      </c>
      <c r="G39" s="13" t="s">
        <v>74</v>
      </c>
      <c r="H39" s="13" t="s">
        <v>652</v>
      </c>
      <c r="I39" s="13" t="s">
        <v>653</v>
      </c>
      <c r="K39" s="22">
        <v>45972</v>
      </c>
    </row>
    <row r="40" spans="1:11" ht="14.25" customHeight="1">
      <c r="A40" s="258" t="str">
        <f>B40&amp;C40&amp;D40</f>
        <v>FLEXBOPGBLD_RT_CONTRACT_UDFIELD_HISTNGAY_HET_COVID19</v>
      </c>
      <c r="B40" s="258" t="s">
        <v>414</v>
      </c>
      <c r="C40" s="16" t="s">
        <v>433</v>
      </c>
      <c r="D40" s="258" t="s">
        <v>435</v>
      </c>
      <c r="E40" s="13" t="s">
        <v>723</v>
      </c>
      <c r="F40" s="13" t="s">
        <v>651</v>
      </c>
      <c r="G40" s="13" t="s">
        <v>74</v>
      </c>
      <c r="H40" s="13" t="s">
        <v>724</v>
      </c>
      <c r="I40" s="13" t="s">
        <v>653</v>
      </c>
      <c r="K40" s="22">
        <v>45972</v>
      </c>
    </row>
    <row r="41" spans="1:11" ht="14.25" customHeight="1">
      <c r="A41" s="258" t="str">
        <f>B41&amp;C41&amp;D41</f>
        <v>LOS_APPFACILITY@TO_LOSID</v>
      </c>
      <c r="B41" s="17" t="s">
        <v>437</v>
      </c>
      <c r="C41" s="17" t="s">
        <v>438</v>
      </c>
      <c r="D41" s="258" t="s">
        <v>439</v>
      </c>
      <c r="E41" s="13" t="s">
        <v>725</v>
      </c>
      <c r="F41" s="13" t="s">
        <v>651</v>
      </c>
      <c r="I41" s="13" t="s">
        <v>653</v>
      </c>
    </row>
    <row r="42" spans="1:11" ht="14.25" customHeight="1">
      <c r="A42" s="258" t="str">
        <f>B42&amp;C42&amp;D42</f>
        <v>LOS_APPFACILITY@TO_LOSPRODUCT_ID</v>
      </c>
      <c r="B42" s="16" t="s">
        <v>437</v>
      </c>
      <c r="C42" s="16" t="s">
        <v>438</v>
      </c>
      <c r="D42" s="258" t="s">
        <v>440</v>
      </c>
      <c r="E42" s="13" t="s">
        <v>715</v>
      </c>
      <c r="F42" s="13" t="s">
        <v>651</v>
      </c>
      <c r="I42" s="13" t="s">
        <v>653</v>
      </c>
      <c r="K42" s="22">
        <v>45973</v>
      </c>
    </row>
    <row r="43" spans="1:11" ht="14.25" customHeight="1">
      <c r="A43" s="258" t="str">
        <f>B43&amp;C43&amp;D43</f>
        <v>LOS_APPLOAN_DISBURSEMENT@TO_LOSAMND_STATE</v>
      </c>
      <c r="B43" s="16" t="s">
        <v>437</v>
      </c>
      <c r="C43" s="16" t="s">
        <v>441</v>
      </c>
      <c r="D43" s="258" t="s">
        <v>442</v>
      </c>
      <c r="E43" s="13" t="s">
        <v>726</v>
      </c>
      <c r="F43" s="13" t="s">
        <v>651</v>
      </c>
      <c r="I43" s="13" t="s">
        <v>653</v>
      </c>
    </row>
    <row r="44" spans="1:11" ht="14.25" customHeight="1">
      <c r="A44" s="258" t="str">
        <f>B44&amp;C44&amp;D44</f>
        <v>LOS_APPLOAN_DISBURSEMENT@TO_LOSBOOKING_DATE</v>
      </c>
      <c r="B44" s="16" t="s">
        <v>437</v>
      </c>
      <c r="C44" s="16" t="s">
        <v>441</v>
      </c>
      <c r="D44" s="258" t="s">
        <v>420</v>
      </c>
      <c r="E44" s="13" t="s">
        <v>665</v>
      </c>
      <c r="F44" s="13" t="s">
        <v>651</v>
      </c>
      <c r="I44" s="13" t="s">
        <v>653</v>
      </c>
    </row>
    <row r="45" spans="1:11" ht="14.25" customHeight="1">
      <c r="A45" s="258" t="str">
        <f>B45&amp;C45&amp;D45</f>
        <v>LOS_APPLOAN_DISBURSEMENT@TO_LOSEXT_REF_NO_1</v>
      </c>
      <c r="B45" s="17" t="s">
        <v>437</v>
      </c>
      <c r="C45" s="17" t="s">
        <v>441</v>
      </c>
      <c r="D45" s="258" t="s">
        <v>443</v>
      </c>
      <c r="E45" s="13" t="s">
        <v>727</v>
      </c>
      <c r="F45" s="13" t="s">
        <v>651</v>
      </c>
      <c r="I45" s="13" t="s">
        <v>653</v>
      </c>
    </row>
    <row r="46" spans="1:11" ht="14.25" customHeight="1">
      <c r="A46" s="258" t="str">
        <f>B46&amp;C46&amp;D46</f>
        <v>LOS_APPLOAN_DISBURSEMENT@TO_LOSFACILITY_ID</v>
      </c>
      <c r="B46" s="16" t="s">
        <v>437</v>
      </c>
      <c r="C46" s="16" t="s">
        <v>441</v>
      </c>
      <c r="D46" s="258" t="s">
        <v>444</v>
      </c>
      <c r="E46" s="13" t="s">
        <v>728</v>
      </c>
      <c r="F46" s="13" t="s">
        <v>651</v>
      </c>
      <c r="I46" s="13" t="s">
        <v>653</v>
      </c>
    </row>
    <row r="47" spans="1:11" ht="14.25" customHeight="1">
      <c r="A47" s="258" t="str">
        <f>B47&amp;C47&amp;D47</f>
        <v>LOS_APPLOAN_DISBURSEMENT@TO_LOSSTATUS</v>
      </c>
      <c r="B47" s="16" t="s">
        <v>437</v>
      </c>
      <c r="C47" s="16" t="s">
        <v>441</v>
      </c>
      <c r="D47" s="258" t="s">
        <v>398</v>
      </c>
      <c r="E47" s="13" t="s">
        <v>729</v>
      </c>
      <c r="F47" s="13" t="s">
        <v>651</v>
      </c>
      <c r="I47" s="13" t="s">
        <v>653</v>
      </c>
    </row>
    <row r="48" spans="1:11" ht="14.25" customHeight="1">
      <c r="A48" s="258" t="str">
        <f>B48&amp;C48&amp;D48</f>
        <v>LOS_APPPRODUCT@TO_LOSID</v>
      </c>
      <c r="B48" s="17" t="s">
        <v>437</v>
      </c>
      <c r="C48" s="17" t="s">
        <v>445</v>
      </c>
      <c r="D48" s="258" t="s">
        <v>439</v>
      </c>
      <c r="E48" s="13" t="s">
        <v>725</v>
      </c>
      <c r="F48" s="13" t="s">
        <v>651</v>
      </c>
      <c r="I48" s="13" t="s">
        <v>653</v>
      </c>
    </row>
    <row r="49" spans="1:11" ht="14.25" customHeight="1">
      <c r="A49" s="258" t="str">
        <f>B49&amp;C49&amp;D49</f>
        <v>LOS_APPPRODUCT@TO_LOSPRODUCT_CODE</v>
      </c>
      <c r="B49" s="16" t="s">
        <v>437</v>
      </c>
      <c r="C49" s="16" t="s">
        <v>445</v>
      </c>
      <c r="D49" s="258" t="s">
        <v>446</v>
      </c>
      <c r="E49" s="13" t="s">
        <v>730</v>
      </c>
      <c r="F49" s="13" t="s">
        <v>651</v>
      </c>
      <c r="G49" s="13" t="s">
        <v>69</v>
      </c>
      <c r="H49" s="13" t="s">
        <v>691</v>
      </c>
      <c r="I49" s="13" t="s">
        <v>653</v>
      </c>
      <c r="J49" s="13" t="s">
        <v>731</v>
      </c>
      <c r="K49" s="22">
        <v>45972</v>
      </c>
    </row>
    <row r="50" spans="1:11" ht="14.25" customHeight="1">
      <c r="A50" s="258" t="str">
        <f>B50&amp;C50&amp;D50</f>
        <v>LOS_APPPRODUCT@TO_LOSPRODUCT_NAME</v>
      </c>
      <c r="B50" s="16" t="s">
        <v>437</v>
      </c>
      <c r="C50" s="16" t="s">
        <v>445</v>
      </c>
      <c r="D50" s="258" t="s">
        <v>447</v>
      </c>
      <c r="E50" s="13" t="s">
        <v>732</v>
      </c>
      <c r="F50" s="13" t="s">
        <v>651</v>
      </c>
      <c r="G50" s="13" t="s">
        <v>98</v>
      </c>
      <c r="H50" s="13" t="s">
        <v>733</v>
      </c>
      <c r="I50" s="13" t="s">
        <v>653</v>
      </c>
      <c r="J50" s="13" t="s">
        <v>734</v>
      </c>
      <c r="K50" s="22">
        <v>45972</v>
      </c>
    </row>
    <row r="51" spans="1:11" ht="14.25" customHeight="1">
      <c r="A51" s="258" t="str">
        <f>B51&amp;C51&amp;D51</f>
        <v>SOURCESAOKE_CRBACC_FCC</v>
      </c>
      <c r="B51" s="258" t="s">
        <v>505</v>
      </c>
      <c r="C51" s="16" t="s">
        <v>506</v>
      </c>
      <c r="D51" s="258" t="s">
        <v>507</v>
      </c>
      <c r="E51" s="13" t="s">
        <v>735</v>
      </c>
      <c r="F51" s="13" t="s">
        <v>736</v>
      </c>
      <c r="I51" s="13" t="s">
        <v>737</v>
      </c>
    </row>
    <row r="52" spans="1:11" ht="14.25" customHeight="1">
      <c r="A52" s="258" t="str">
        <f>B52&amp;C52&amp;D52</f>
        <v>SOURCESAOKE_CRBAMOUNT_CUR</v>
      </c>
      <c r="B52" s="258" t="s">
        <v>505</v>
      </c>
      <c r="C52" s="16" t="s">
        <v>506</v>
      </c>
      <c r="D52" s="258" t="s">
        <v>508</v>
      </c>
      <c r="E52" s="13" t="s">
        <v>738</v>
      </c>
      <c r="F52" s="13" t="s">
        <v>736</v>
      </c>
      <c r="G52" s="13" t="s">
        <v>202</v>
      </c>
      <c r="H52" s="13" t="s">
        <v>739</v>
      </c>
      <c r="I52" s="13" t="s">
        <v>737</v>
      </c>
      <c r="K52" s="22">
        <v>45973</v>
      </c>
    </row>
    <row r="53" spans="1:11" ht="14.25" customHeight="1">
      <c r="A53" s="258" t="str">
        <f>B53&amp;C53&amp;D53</f>
        <v>SOURCESAOKE_CRBAMOUNT_LCY</v>
      </c>
      <c r="B53" s="258" t="s">
        <v>505</v>
      </c>
      <c r="C53" s="16" t="s">
        <v>506</v>
      </c>
      <c r="D53" s="258" t="s">
        <v>457</v>
      </c>
      <c r="E53" s="13" t="s">
        <v>740</v>
      </c>
      <c r="F53" s="13" t="s">
        <v>736</v>
      </c>
      <c r="G53" s="13" t="s">
        <v>202</v>
      </c>
      <c r="H53" s="13" t="s">
        <v>741</v>
      </c>
      <c r="I53" s="13" t="s">
        <v>737</v>
      </c>
    </row>
    <row r="54" spans="1:11" ht="14.25" customHeight="1">
      <c r="A54" s="258" t="str">
        <f>B54&amp;C54&amp;D54</f>
        <v>SOURCESAOKE_CRBAPP_CODE</v>
      </c>
      <c r="B54" s="258" t="s">
        <v>505</v>
      </c>
      <c r="C54" s="16" t="s">
        <v>506</v>
      </c>
      <c r="D54" s="258" t="s">
        <v>509</v>
      </c>
      <c r="E54" s="13" t="s">
        <v>742</v>
      </c>
      <c r="F54" s="13" t="s">
        <v>736</v>
      </c>
      <c r="G54" s="13" t="s">
        <v>202</v>
      </c>
      <c r="H54" s="13" t="s">
        <v>743</v>
      </c>
      <c r="I54" s="13" t="s">
        <v>737</v>
      </c>
    </row>
    <row r="55" spans="1:11" ht="14.25" customHeight="1">
      <c r="A55" s="258" t="str">
        <f>B55&amp;C55&amp;D55</f>
        <v>SOURCESAOKE_CRBAPP_ID</v>
      </c>
      <c r="B55" s="258" t="s">
        <v>505</v>
      </c>
      <c r="C55" s="16" t="s">
        <v>506</v>
      </c>
      <c r="D55" s="258" t="s">
        <v>511</v>
      </c>
      <c r="E55" s="13" t="s">
        <v>249</v>
      </c>
      <c r="F55" s="13" t="s">
        <v>736</v>
      </c>
      <c r="G55" s="13" t="s">
        <v>202</v>
      </c>
      <c r="H55" s="13" t="s">
        <v>744</v>
      </c>
      <c r="I55" s="13" t="s">
        <v>737</v>
      </c>
    </row>
    <row r="56" spans="1:11" ht="14.25" customHeight="1">
      <c r="A56" s="258" t="str">
        <f>B56&amp;C56&amp;D56</f>
        <v>SOURCESAOKE_CRBASSET_TYPE</v>
      </c>
      <c r="B56" s="258" t="s">
        <v>505</v>
      </c>
      <c r="C56" s="16" t="s">
        <v>506</v>
      </c>
      <c r="D56" s="258" t="s">
        <v>515</v>
      </c>
      <c r="E56" s="13" t="s">
        <v>745</v>
      </c>
      <c r="F56" s="13" t="s">
        <v>736</v>
      </c>
      <c r="G56" s="13" t="s">
        <v>202</v>
      </c>
      <c r="H56" s="13" t="s">
        <v>746</v>
      </c>
      <c r="I56" s="13" t="s">
        <v>737</v>
      </c>
    </row>
    <row r="57" spans="1:11" ht="14.25" customHeight="1">
      <c r="A57" s="258" t="str">
        <f>B57&amp;C57&amp;D57</f>
        <v>SOURCESAOKE_CRBCATEG_CODE</v>
      </c>
      <c r="B57" s="258" t="s">
        <v>505</v>
      </c>
      <c r="C57" s="16" t="s">
        <v>506</v>
      </c>
      <c r="D57" s="258" t="s">
        <v>516</v>
      </c>
      <c r="E57" s="13" t="s">
        <v>747</v>
      </c>
      <c r="F57" s="13" t="s">
        <v>736</v>
      </c>
      <c r="G57" s="13" t="s">
        <v>202</v>
      </c>
      <c r="H57" s="13" t="s">
        <v>748</v>
      </c>
      <c r="I57" s="13" t="s">
        <v>737</v>
      </c>
      <c r="K57" s="22">
        <v>45972</v>
      </c>
    </row>
    <row r="58" spans="1:11" ht="14.25" customHeight="1">
      <c r="A58" s="258" t="str">
        <f>B58&amp;C58&amp;D58</f>
        <v>SOURCESAOKE_CRBCO_CODE</v>
      </c>
      <c r="B58" s="258" t="s">
        <v>505</v>
      </c>
      <c r="C58" s="16" t="s">
        <v>506</v>
      </c>
      <c r="D58" s="258" t="s">
        <v>460</v>
      </c>
      <c r="E58" s="13" t="s">
        <v>749</v>
      </c>
      <c r="F58" s="13" t="s">
        <v>736</v>
      </c>
      <c r="G58" s="13" t="s">
        <v>202</v>
      </c>
      <c r="H58" s="13" t="s">
        <v>750</v>
      </c>
      <c r="I58" s="13" t="s">
        <v>737</v>
      </c>
    </row>
    <row r="59" spans="1:11" ht="14.25" customHeight="1">
      <c r="A59" s="258" t="str">
        <f>B59&amp;C59&amp;D59</f>
        <v>SOURCESAOKE_CRBCURR</v>
      </c>
      <c r="B59" s="258" t="s">
        <v>505</v>
      </c>
      <c r="C59" s="16" t="s">
        <v>506</v>
      </c>
      <c r="D59" s="258" t="s">
        <v>751</v>
      </c>
      <c r="E59" s="13" t="s">
        <v>282</v>
      </c>
      <c r="F59" s="13" t="s">
        <v>736</v>
      </c>
      <c r="G59" s="13" t="s">
        <v>202</v>
      </c>
      <c r="H59" s="13" t="s">
        <v>752</v>
      </c>
      <c r="I59" s="13" t="s">
        <v>737</v>
      </c>
    </row>
    <row r="60" spans="1:11" ht="14.25" customHeight="1">
      <c r="A60" s="258" t="str">
        <f>B60&amp;C60&amp;D60</f>
        <v>SOURCESAOKE_CRBCUS_ID</v>
      </c>
      <c r="B60" s="258" t="s">
        <v>505</v>
      </c>
      <c r="C60" s="16" t="s">
        <v>506</v>
      </c>
      <c r="D60" s="258" t="s">
        <v>518</v>
      </c>
      <c r="E60" s="13" t="s">
        <v>254</v>
      </c>
      <c r="F60" s="13" t="s">
        <v>736</v>
      </c>
      <c r="G60" s="13" t="s">
        <v>202</v>
      </c>
      <c r="H60" s="13" t="s">
        <v>753</v>
      </c>
      <c r="I60" s="13" t="s">
        <v>737</v>
      </c>
    </row>
    <row r="61" spans="1:11" ht="14.25" customHeight="1">
      <c r="A61" s="258" t="str">
        <f>B61&amp;C61&amp;D61</f>
        <v>SOURCESAOKE_CRBDATE</v>
      </c>
      <c r="B61" s="258" t="s">
        <v>505</v>
      </c>
      <c r="C61" s="16" t="s">
        <v>506</v>
      </c>
      <c r="D61" s="258" t="s">
        <v>519</v>
      </c>
      <c r="E61" s="13" t="s">
        <v>754</v>
      </c>
      <c r="F61" s="13" t="s">
        <v>736</v>
      </c>
      <c r="I61" s="13" t="s">
        <v>737</v>
      </c>
    </row>
    <row r="62" spans="1:11" ht="14.25" customHeight="1">
      <c r="A62" s="258" t="str">
        <f>B62&amp;C62&amp;D62</f>
        <v>SOURCESAOKE_CRBLOC_TERM</v>
      </c>
      <c r="B62" s="258" t="s">
        <v>505</v>
      </c>
      <c r="C62" s="16" t="s">
        <v>506</v>
      </c>
      <c r="D62" s="258" t="s">
        <v>520</v>
      </c>
      <c r="E62" s="13" t="s">
        <v>755</v>
      </c>
      <c r="F62" s="13" t="s">
        <v>721</v>
      </c>
      <c r="G62" s="13" t="s">
        <v>202</v>
      </c>
      <c r="H62" s="13" t="s">
        <v>756</v>
      </c>
      <c r="I62" s="13" t="s">
        <v>737</v>
      </c>
    </row>
    <row r="63" spans="1:11" ht="14.25" customHeight="1">
      <c r="A63" s="258" t="str">
        <f>B63&amp;C63&amp;D63</f>
        <v>SOURCESAOKE_CRBMAT_DATE</v>
      </c>
      <c r="B63" s="258" t="s">
        <v>505</v>
      </c>
      <c r="C63" s="16" t="s">
        <v>506</v>
      </c>
      <c r="D63" s="258" t="s">
        <v>521</v>
      </c>
      <c r="E63" s="13" t="s">
        <v>757</v>
      </c>
      <c r="F63" s="13" t="s">
        <v>736</v>
      </c>
      <c r="I63" s="13" t="s">
        <v>737</v>
      </c>
    </row>
    <row r="64" spans="1:11" ht="14.25" customHeight="1">
      <c r="A64" s="258" t="str">
        <f>B64&amp;C64&amp;D64</f>
        <v>SOURCESAOKE_CRBSBV_CODE</v>
      </c>
      <c r="B64" s="258" t="s">
        <v>505</v>
      </c>
      <c r="C64" s="16" t="s">
        <v>506</v>
      </c>
      <c r="D64" s="258" t="s">
        <v>522</v>
      </c>
      <c r="E64" s="13" t="s">
        <v>758</v>
      </c>
      <c r="F64" s="13" t="s">
        <v>736</v>
      </c>
      <c r="G64" s="13" t="s">
        <v>202</v>
      </c>
      <c r="H64" s="13" t="s">
        <v>759</v>
      </c>
      <c r="I64" s="13" t="s">
        <v>737</v>
      </c>
      <c r="K64" s="22">
        <v>45972</v>
      </c>
    </row>
    <row r="65" spans="1:11" ht="14.25" customHeight="1">
      <c r="A65" s="258" t="str">
        <f>B65&amp;C65&amp;D65</f>
        <v>SOURCESAOKE_CRBSUB_PRO</v>
      </c>
      <c r="B65" s="258" t="s">
        <v>505</v>
      </c>
      <c r="C65" s="16" t="s">
        <v>506</v>
      </c>
      <c r="D65" s="258" t="s">
        <v>760</v>
      </c>
      <c r="E65" s="13" t="s">
        <v>761</v>
      </c>
      <c r="F65" s="13" t="s">
        <v>736</v>
      </c>
      <c r="G65" s="13" t="s">
        <v>202</v>
      </c>
      <c r="H65" s="13" t="s">
        <v>762</v>
      </c>
      <c r="I65" s="13" t="s">
        <v>737</v>
      </c>
      <c r="K65" s="22">
        <v>45972</v>
      </c>
    </row>
    <row r="66" spans="1:11" ht="14.25" customHeight="1">
      <c r="A66" s="258" t="str">
        <f>B66&amp;C66&amp;D66</f>
        <v>SOURCESAOKE_CRBTXN_DATE</v>
      </c>
      <c r="B66" s="258" t="s">
        <v>505</v>
      </c>
      <c r="C66" s="16" t="s">
        <v>506</v>
      </c>
      <c r="D66" s="258" t="s">
        <v>503</v>
      </c>
      <c r="E66" s="13" t="s">
        <v>763</v>
      </c>
      <c r="F66" s="13" t="s">
        <v>736</v>
      </c>
      <c r="G66" s="13" t="s">
        <v>202</v>
      </c>
      <c r="H66" s="13" t="s">
        <v>764</v>
      </c>
      <c r="I66" s="13" t="s">
        <v>737</v>
      </c>
      <c r="K66" s="22">
        <v>45972</v>
      </c>
    </row>
    <row r="67" spans="1:11" ht="14.25" customHeight="1">
      <c r="A67" s="258" t="str">
        <f>B67&amp;C67&amp;D67</f>
        <v>SOURCESAOKE_CRBVAL_DATE</v>
      </c>
      <c r="B67" s="258" t="s">
        <v>505</v>
      </c>
      <c r="C67" s="16" t="s">
        <v>506</v>
      </c>
      <c r="D67" s="258" t="s">
        <v>524</v>
      </c>
      <c r="E67" s="13" t="s">
        <v>765</v>
      </c>
      <c r="F67" s="13" t="s">
        <v>736</v>
      </c>
      <c r="I67" s="13" t="s">
        <v>737</v>
      </c>
    </row>
    <row r="68" spans="1:11" ht="14.25" customHeight="1">
      <c r="A68" s="258" t="str">
        <f>B68&amp;C68&amp;D68</f>
        <v>SOURCESAOKE_MVMTSBV_CODE</v>
      </c>
      <c r="B68" s="258" t="s">
        <v>505</v>
      </c>
      <c r="C68" s="16" t="s">
        <v>525</v>
      </c>
      <c r="D68" s="258" t="s">
        <v>522</v>
      </c>
      <c r="E68" s="13" t="s">
        <v>758</v>
      </c>
      <c r="F68" s="13" t="s">
        <v>736</v>
      </c>
      <c r="G68" s="13" t="s">
        <v>74</v>
      </c>
      <c r="H68" s="13" t="s">
        <v>759</v>
      </c>
      <c r="I68" s="13" t="s">
        <v>737</v>
      </c>
      <c r="J68" s="23" t="s">
        <v>766</v>
      </c>
      <c r="K68" s="22">
        <v>45972</v>
      </c>
    </row>
    <row r="69" spans="1:11" ht="14.25" customHeight="1">
      <c r="A69" s="258" t="str">
        <f>B69&amp;C69&amp;D69</f>
        <v>SOURCESAOKE_MVMTTRANS_REF</v>
      </c>
      <c r="B69" s="258" t="s">
        <v>505</v>
      </c>
      <c r="C69" s="16" t="s">
        <v>525</v>
      </c>
      <c r="D69" s="258" t="s">
        <v>526</v>
      </c>
      <c r="E69" s="13" t="s">
        <v>767</v>
      </c>
      <c r="F69" s="13" t="s">
        <v>736</v>
      </c>
      <c r="G69" s="13" t="s">
        <v>74</v>
      </c>
      <c r="H69" s="13" t="s">
        <v>744</v>
      </c>
      <c r="I69" s="13" t="s">
        <v>737</v>
      </c>
      <c r="K69" s="22">
        <v>45972</v>
      </c>
    </row>
    <row r="70" spans="1:11" ht="14.25" customHeight="1">
      <c r="A70" s="258" t="str">
        <f>B70&amp;C70&amp;D70</f>
        <v>SOURCESAOKE_MVMTTXN_DATE</v>
      </c>
      <c r="B70" s="258" t="s">
        <v>505</v>
      </c>
      <c r="C70" s="16" t="s">
        <v>525</v>
      </c>
      <c r="D70" s="258" t="s">
        <v>503</v>
      </c>
      <c r="E70" s="13" t="s">
        <v>768</v>
      </c>
      <c r="F70" s="13" t="s">
        <v>736</v>
      </c>
      <c r="I70" s="13" t="s">
        <v>737</v>
      </c>
    </row>
    <row r="71" spans="1:11" ht="14.25" customHeight="1">
      <c r="A71" s="258" t="str">
        <f>B71&amp;C71&amp;D71</f>
        <v>T24CORECOMPANYCOMPANY_NAME</v>
      </c>
      <c r="B71" s="258" t="s">
        <v>512</v>
      </c>
      <c r="C71" s="16" t="s">
        <v>527</v>
      </c>
      <c r="D71" s="258" t="s">
        <v>528</v>
      </c>
      <c r="E71" s="13" t="s">
        <v>769</v>
      </c>
      <c r="F71" s="13" t="s">
        <v>736</v>
      </c>
      <c r="G71" s="13" t="s">
        <v>107</v>
      </c>
      <c r="H71" s="13" t="s">
        <v>770</v>
      </c>
      <c r="I71" s="13" t="s">
        <v>737</v>
      </c>
      <c r="K71" s="22">
        <v>45941</v>
      </c>
    </row>
    <row r="72" spans="1:11" ht="14.25" customHeight="1">
      <c r="A72" s="258" t="str">
        <f>B72&amp;C72&amp;D72</f>
        <v>T24CORECOMPANYRECID</v>
      </c>
      <c r="B72" s="258" t="s">
        <v>512</v>
      </c>
      <c r="C72" s="16" t="s">
        <v>527</v>
      </c>
      <c r="D72" s="258" t="s">
        <v>490</v>
      </c>
      <c r="E72" s="13" t="s">
        <v>259</v>
      </c>
      <c r="F72" s="13" t="s">
        <v>736</v>
      </c>
      <c r="G72" s="13" t="s">
        <v>107</v>
      </c>
      <c r="H72" s="13" t="s">
        <v>750</v>
      </c>
      <c r="I72" s="13" t="s">
        <v>737</v>
      </c>
      <c r="K72" s="22">
        <v>45941</v>
      </c>
    </row>
    <row r="73" spans="1:11" ht="14.25" customHeight="1">
      <c r="A73" s="258" t="str">
        <f>B73&amp;C73&amp;D73</f>
        <v>T24CORECUSTOMERACCOUNT_OFFICER</v>
      </c>
      <c r="B73" s="16" t="s">
        <v>512</v>
      </c>
      <c r="C73" s="16" t="s">
        <v>513</v>
      </c>
      <c r="D73" s="24" t="s">
        <v>529</v>
      </c>
      <c r="E73" s="13" t="s">
        <v>771</v>
      </c>
      <c r="F73" s="13"/>
      <c r="G73" s="13" t="s">
        <v>23</v>
      </c>
      <c r="H73" s="13" t="s">
        <v>772</v>
      </c>
      <c r="I73" s="13" t="s">
        <v>737</v>
      </c>
    </row>
    <row r="74" spans="1:11" ht="14.25" customHeight="1">
      <c r="A74" s="258" t="str">
        <f>B74&amp;C74&amp;D74</f>
        <v>T24CORECUSTOMERACTIVE_STATUS</v>
      </c>
      <c r="B74" s="16" t="s">
        <v>512</v>
      </c>
      <c r="C74" s="16" t="s">
        <v>513</v>
      </c>
      <c r="D74" s="24" t="s">
        <v>530</v>
      </c>
      <c r="E74" s="19" t="s">
        <v>773</v>
      </c>
      <c r="G74" s="13" t="s">
        <v>774</v>
      </c>
      <c r="H74" s="13" t="s">
        <v>775</v>
      </c>
      <c r="I74" s="13" t="s">
        <v>737</v>
      </c>
      <c r="K74" s="22">
        <v>45941</v>
      </c>
    </row>
    <row r="75" spans="1:11" ht="14.25" customHeight="1">
      <c r="A75" s="258" t="str">
        <f>B75&amp;C75&amp;D75</f>
        <v>T24CORECUSTOMERAML_CHECK</v>
      </c>
      <c r="B75" s="16" t="s">
        <v>512</v>
      </c>
      <c r="C75" s="16" t="s">
        <v>513</v>
      </c>
      <c r="D75" s="24" t="s">
        <v>531</v>
      </c>
      <c r="E75" s="19" t="s">
        <v>776</v>
      </c>
      <c r="G75" s="13" t="s">
        <v>29</v>
      </c>
      <c r="H75" s="13" t="s">
        <v>777</v>
      </c>
      <c r="I75" s="13" t="s">
        <v>737</v>
      </c>
      <c r="K75" s="22">
        <v>45941</v>
      </c>
    </row>
    <row r="76" spans="1:11" ht="14.25" customHeight="1">
      <c r="A76" s="258" t="str">
        <f>B76&amp;C76&amp;D76</f>
        <v>T24CORECUSTOMERAML_RESULT</v>
      </c>
      <c r="B76" s="16" t="s">
        <v>512</v>
      </c>
      <c r="C76" s="16" t="s">
        <v>513</v>
      </c>
      <c r="D76" s="24" t="s">
        <v>532</v>
      </c>
      <c r="E76" s="19" t="s">
        <v>776</v>
      </c>
      <c r="G76" s="13" t="s">
        <v>29</v>
      </c>
      <c r="H76" s="13" t="s">
        <v>778</v>
      </c>
      <c r="I76" s="13" t="s">
        <v>737</v>
      </c>
      <c r="K76" s="22">
        <v>45941</v>
      </c>
    </row>
    <row r="77" spans="1:11" ht="14.25" customHeight="1">
      <c r="A77" s="258" t="str">
        <f>B77&amp;C77&amp;D77</f>
        <v>T24CORECUSTOMERASSET_CLASS</v>
      </c>
      <c r="B77" s="258" t="s">
        <v>512</v>
      </c>
      <c r="C77" s="16" t="s">
        <v>513</v>
      </c>
      <c r="D77" s="258" t="s">
        <v>514</v>
      </c>
      <c r="E77" s="19" t="s">
        <v>779</v>
      </c>
      <c r="F77" s="13" t="s">
        <v>736</v>
      </c>
      <c r="G77" s="13" t="s">
        <v>774</v>
      </c>
      <c r="H77" s="13" t="s">
        <v>780</v>
      </c>
      <c r="I77" s="13" t="s">
        <v>737</v>
      </c>
      <c r="K77" s="22">
        <v>45941</v>
      </c>
    </row>
    <row r="78" spans="1:11" ht="14.25" customHeight="1">
      <c r="A78" s="258" t="str">
        <f>B78&amp;C78&amp;D78</f>
        <v>T24CORECUSTOMERBDATE_LEGAL</v>
      </c>
      <c r="B78" s="16" t="s">
        <v>512</v>
      </c>
      <c r="C78" s="16" t="s">
        <v>513</v>
      </c>
      <c r="D78" s="24" t="s">
        <v>781</v>
      </c>
      <c r="E78" s="13" t="s">
        <v>755</v>
      </c>
      <c r="I78" s="13" t="s">
        <v>737</v>
      </c>
    </row>
    <row r="79" spans="1:11" ht="14.25" customHeight="1">
      <c r="A79" s="258" t="str">
        <f>B79&amp;C79&amp;D79</f>
        <v>T24CORECUSTOMERBDAY_DIRECTOR</v>
      </c>
      <c r="B79" s="16" t="s">
        <v>512</v>
      </c>
      <c r="C79" s="16" t="s">
        <v>513</v>
      </c>
      <c r="D79" s="24" t="s">
        <v>534</v>
      </c>
      <c r="E79" s="19" t="s">
        <v>782</v>
      </c>
      <c r="I79" s="13" t="s">
        <v>737</v>
      </c>
    </row>
    <row r="80" spans="1:11" ht="14.25" customHeight="1">
      <c r="A80" s="258" t="str">
        <f>B80&amp;C80&amp;D80</f>
        <v>T24CORECUSTOMERBIRTH_INCORP_DATE</v>
      </c>
      <c r="B80" s="16" t="s">
        <v>512</v>
      </c>
      <c r="C80" s="16" t="s">
        <v>513</v>
      </c>
      <c r="D80" s="24" t="s">
        <v>783</v>
      </c>
      <c r="E80" s="19" t="s">
        <v>784</v>
      </c>
      <c r="G80" s="13" t="s">
        <v>40</v>
      </c>
      <c r="H80" s="13" t="s">
        <v>785</v>
      </c>
      <c r="I80" s="13" t="s">
        <v>737</v>
      </c>
      <c r="K80" s="22">
        <v>45941</v>
      </c>
    </row>
    <row r="81" spans="1:11" ht="14.25" customHeight="1">
      <c r="A81" s="258" t="str">
        <f>B81&amp;C81&amp;D81</f>
        <v>T24CORECUSTOMERCO_CODE</v>
      </c>
      <c r="B81" s="16" t="s">
        <v>512</v>
      </c>
      <c r="C81" s="16" t="s">
        <v>513</v>
      </c>
      <c r="D81" s="24" t="s">
        <v>460</v>
      </c>
      <c r="E81" s="19" t="s">
        <v>786</v>
      </c>
      <c r="G81" s="13" t="s">
        <v>774</v>
      </c>
      <c r="H81" s="13" t="s">
        <v>750</v>
      </c>
      <c r="I81" s="13" t="s">
        <v>737</v>
      </c>
      <c r="K81" s="22">
        <v>45941</v>
      </c>
    </row>
    <row r="82" spans="1:11" ht="14.25" customHeight="1">
      <c r="A82" s="258" t="str">
        <f>B82&amp;C82&amp;D82</f>
        <v>T24CORECUSTOMERCOMPANY_BOOK</v>
      </c>
      <c r="B82" s="16" t="s">
        <v>512</v>
      </c>
      <c r="C82" s="16" t="s">
        <v>513</v>
      </c>
      <c r="D82" s="24" t="s">
        <v>787</v>
      </c>
      <c r="E82" s="19" t="s">
        <v>788</v>
      </c>
      <c r="G82" s="13" t="s">
        <v>23</v>
      </c>
      <c r="H82" s="13" t="s">
        <v>750</v>
      </c>
      <c r="I82" s="13" t="s">
        <v>737</v>
      </c>
    </row>
    <row r="83" spans="1:11" ht="14.25" customHeight="1">
      <c r="A83" s="258" t="str">
        <f>B83&amp;C83&amp;D83</f>
        <v>T24CORECUSTOMERCONTACT_DATE</v>
      </c>
      <c r="B83" s="16" t="s">
        <v>512</v>
      </c>
      <c r="C83" s="16" t="s">
        <v>513</v>
      </c>
      <c r="D83" s="24" t="s">
        <v>789</v>
      </c>
      <c r="E83" s="19" t="s">
        <v>790</v>
      </c>
      <c r="G83" s="13" t="s">
        <v>23</v>
      </c>
      <c r="H83" s="13" t="s">
        <v>791</v>
      </c>
      <c r="I83" s="13" t="s">
        <v>737</v>
      </c>
    </row>
    <row r="84" spans="1:11" ht="14.25" customHeight="1">
      <c r="A84" s="258" t="str">
        <f>B84&amp;C84&amp;D84</f>
        <v>T24CORECUSTOMERCONTACT_PERSON</v>
      </c>
      <c r="B84" s="16" t="s">
        <v>512</v>
      </c>
      <c r="C84" s="16" t="s">
        <v>513</v>
      </c>
      <c r="D84" s="24" t="s">
        <v>538</v>
      </c>
      <c r="E84" s="19" t="s">
        <v>755</v>
      </c>
      <c r="I84" s="13" t="s">
        <v>737</v>
      </c>
    </row>
    <row r="85" spans="1:11" ht="14.25" customHeight="1">
      <c r="A85" s="258" t="str">
        <f>B85&amp;C85&amp;D85</f>
        <v>T24CORECUSTOMERCOUNTRY</v>
      </c>
      <c r="B85" s="16" t="s">
        <v>512</v>
      </c>
      <c r="C85" s="16" t="s">
        <v>513</v>
      </c>
      <c r="D85" s="24" t="s">
        <v>539</v>
      </c>
      <c r="E85" s="19"/>
      <c r="G85" s="13" t="s">
        <v>56</v>
      </c>
      <c r="H85" s="13" t="s">
        <v>792</v>
      </c>
      <c r="I85" s="13" t="s">
        <v>737</v>
      </c>
    </row>
    <row r="86" spans="1:11" ht="14.25" customHeight="1">
      <c r="A86" s="258" t="str">
        <f>B86&amp;C86&amp;D86</f>
        <v>T24CORECUSTOMERCU_EFF_DATE</v>
      </c>
      <c r="B86" s="16" t="s">
        <v>512</v>
      </c>
      <c r="C86" s="16" t="s">
        <v>513</v>
      </c>
      <c r="D86" s="24" t="s">
        <v>793</v>
      </c>
      <c r="E86" s="19"/>
      <c r="I86" s="13" t="s">
        <v>737</v>
      </c>
    </row>
    <row r="87" spans="1:11" ht="14.25" customHeight="1">
      <c r="A87" s="258" t="str">
        <f>B87&amp;C87&amp;D87</f>
        <v>T24CORECUSTOMERCUS_IND_PARENT</v>
      </c>
      <c r="B87" s="16" t="s">
        <v>512</v>
      </c>
      <c r="C87" s="16" t="s">
        <v>513</v>
      </c>
      <c r="D87" s="24" t="s">
        <v>541</v>
      </c>
      <c r="E87" s="19" t="s">
        <v>794</v>
      </c>
      <c r="F87" s="13" t="s">
        <v>736</v>
      </c>
      <c r="G87" s="13" t="s">
        <v>774</v>
      </c>
      <c r="H87" s="13" t="s">
        <v>795</v>
      </c>
      <c r="I87" s="13" t="s">
        <v>737</v>
      </c>
      <c r="K87" s="22">
        <v>45978</v>
      </c>
    </row>
    <row r="88" spans="1:11" ht="14.25" customHeight="1">
      <c r="A88" s="258" t="str">
        <f>B88&amp;C88&amp;D88</f>
        <v>T24CORECUSTOMERCUSTOMER_STATUS</v>
      </c>
      <c r="B88" s="16" t="s">
        <v>512</v>
      </c>
      <c r="C88" s="16" t="s">
        <v>513</v>
      </c>
      <c r="D88" s="24" t="s">
        <v>542</v>
      </c>
      <c r="E88" s="19" t="s">
        <v>796</v>
      </c>
      <c r="G88" s="13" t="s">
        <v>774</v>
      </c>
      <c r="H88" s="13" t="s">
        <v>797</v>
      </c>
      <c r="I88" s="13" t="s">
        <v>737</v>
      </c>
      <c r="K88" s="22">
        <v>45941</v>
      </c>
    </row>
    <row r="89" spans="1:11" ht="14.25" customHeight="1">
      <c r="A89" s="258" t="str">
        <f>B89&amp;C89&amp;D89</f>
        <v>T24CORECUSTOMERDATE_TIME</v>
      </c>
      <c r="B89" s="16" t="s">
        <v>512</v>
      </c>
      <c r="C89" s="16" t="s">
        <v>513</v>
      </c>
      <c r="D89" s="24" t="s">
        <v>472</v>
      </c>
      <c r="E89" s="19" t="s">
        <v>798</v>
      </c>
      <c r="I89" s="13" t="s">
        <v>737</v>
      </c>
    </row>
    <row r="90" spans="1:11" ht="14.25" customHeight="1">
      <c r="A90" s="258" t="str">
        <f>B90&amp;C90&amp;D90</f>
        <v>T24CORECUSTOMEREMAIL_ADDRESS</v>
      </c>
      <c r="B90" s="16" t="s">
        <v>512</v>
      </c>
      <c r="C90" s="16" t="s">
        <v>513</v>
      </c>
      <c r="D90" s="24" t="s">
        <v>543</v>
      </c>
      <c r="E90" s="19" t="s">
        <v>799</v>
      </c>
      <c r="G90" s="13" t="s">
        <v>800</v>
      </c>
      <c r="H90" s="13" t="s">
        <v>801</v>
      </c>
      <c r="I90" s="13" t="s">
        <v>737</v>
      </c>
    </row>
    <row r="91" spans="1:11" ht="14.25" customHeight="1">
      <c r="A91" s="258" t="str">
        <f>B91&amp;C91&amp;D91</f>
        <v>T24CORECUSTOMEREMPLOYMENT_STATUS</v>
      </c>
      <c r="B91" s="16" t="s">
        <v>512</v>
      </c>
      <c r="C91" s="16" t="s">
        <v>513</v>
      </c>
      <c r="D91" s="24" t="s">
        <v>544</v>
      </c>
      <c r="E91" s="19"/>
      <c r="G91" s="13" t="s">
        <v>35</v>
      </c>
      <c r="H91" s="13" t="s">
        <v>802</v>
      </c>
      <c r="I91" s="13" t="s">
        <v>737</v>
      </c>
    </row>
    <row r="92" spans="1:11" ht="14.25" customHeight="1">
      <c r="A92" s="258" t="str">
        <f>B92&amp;C92&amp;D92</f>
        <v>T24CORECUSTOMERESTAB_LIC_CODE</v>
      </c>
      <c r="B92" s="16" t="s">
        <v>512</v>
      </c>
      <c r="C92" s="16" t="s">
        <v>513</v>
      </c>
      <c r="D92" s="24" t="s">
        <v>803</v>
      </c>
      <c r="E92" s="19"/>
      <c r="I92" s="13" t="s">
        <v>737</v>
      </c>
    </row>
    <row r="93" spans="1:11" ht="14.25" customHeight="1">
      <c r="A93" s="258" t="str">
        <f>B93&amp;C93&amp;D93</f>
        <v>T24CORECUSTOMERFFB_TYPE</v>
      </c>
      <c r="B93" s="16" t="s">
        <v>512</v>
      </c>
      <c r="C93" s="16" t="s">
        <v>513</v>
      </c>
      <c r="D93" s="24" t="s">
        <v>804</v>
      </c>
      <c r="E93" s="19"/>
      <c r="I93" s="13" t="s">
        <v>737</v>
      </c>
    </row>
    <row r="94" spans="1:11" ht="14.25" customHeight="1">
      <c r="A94" s="258" t="str">
        <f>B94&amp;C94&amp;D94</f>
        <v>T24CORECUSTOMERGEN_DIR_PLC</v>
      </c>
      <c r="B94" s="16" t="s">
        <v>512</v>
      </c>
      <c r="C94" s="16" t="s">
        <v>513</v>
      </c>
      <c r="D94" s="24" t="s">
        <v>547</v>
      </c>
      <c r="E94" s="19"/>
      <c r="I94" s="13" t="s">
        <v>737</v>
      </c>
    </row>
    <row r="95" spans="1:11" ht="14.25" customHeight="1">
      <c r="A95" s="258" t="str">
        <f>B95&amp;C95&amp;D95</f>
        <v>T24CORECUSTOMERHOME_NUMBER</v>
      </c>
      <c r="B95" s="16" t="s">
        <v>512</v>
      </c>
      <c r="C95" s="16" t="s">
        <v>513</v>
      </c>
      <c r="D95" s="24" t="s">
        <v>548</v>
      </c>
      <c r="E95" s="19" t="s">
        <v>805</v>
      </c>
      <c r="G95" s="13" t="s">
        <v>800</v>
      </c>
      <c r="H95" s="13" t="s">
        <v>801</v>
      </c>
      <c r="I95" s="13" t="s">
        <v>737</v>
      </c>
    </row>
    <row r="96" spans="1:11" ht="14.25" customHeight="1">
      <c r="A96" s="258" t="str">
        <f>B96&amp;C96&amp;D96</f>
        <v>T24CORECUSTOMERINDUSTRY</v>
      </c>
      <c r="B96" s="16" t="s">
        <v>512</v>
      </c>
      <c r="C96" s="16" t="s">
        <v>513</v>
      </c>
      <c r="D96" s="24" t="s">
        <v>549</v>
      </c>
      <c r="E96" s="19" t="s">
        <v>806</v>
      </c>
      <c r="I96" s="13" t="s">
        <v>737</v>
      </c>
      <c r="K96" s="22">
        <v>45941</v>
      </c>
    </row>
    <row r="97" spans="1:11" ht="14.25" customHeight="1">
      <c r="A97" s="258" t="str">
        <f>B97&amp;C97&amp;D97</f>
        <v>T24CORECUSTOMERINTERNET_BANKING_SERVICE</v>
      </c>
      <c r="B97" s="16" t="s">
        <v>512</v>
      </c>
      <c r="C97" s="16" t="s">
        <v>513</v>
      </c>
      <c r="D97" s="24" t="s">
        <v>550</v>
      </c>
      <c r="E97" s="19" t="s">
        <v>807</v>
      </c>
      <c r="G97" s="13" t="s">
        <v>774</v>
      </c>
      <c r="H97" s="13" t="s">
        <v>808</v>
      </c>
      <c r="I97" s="13" t="s">
        <v>737</v>
      </c>
      <c r="K97" s="22">
        <v>45941</v>
      </c>
    </row>
    <row r="98" spans="1:11" ht="14.25" customHeight="1">
      <c r="A98" s="258" t="str">
        <f>B98&amp;C98&amp;D98</f>
        <v>T24CORECUSTOMERKHOI</v>
      </c>
      <c r="B98" s="16" t="s">
        <v>512</v>
      </c>
      <c r="C98" s="16" t="s">
        <v>513</v>
      </c>
      <c r="D98" s="24" t="s">
        <v>551</v>
      </c>
      <c r="E98" s="19" t="s">
        <v>809</v>
      </c>
      <c r="F98" s="13" t="s">
        <v>736</v>
      </c>
      <c r="G98" s="13" t="s">
        <v>23</v>
      </c>
      <c r="H98" s="13" t="s">
        <v>810</v>
      </c>
      <c r="I98" s="13" t="s">
        <v>737</v>
      </c>
    </row>
    <row r="99" spans="1:11" ht="14.25" customHeight="1">
      <c r="A99" s="258" t="str">
        <f>B99&amp;C99&amp;D99</f>
        <v>T24CORECUSTOMERKYC_CHANNEL</v>
      </c>
      <c r="B99" s="16" t="s">
        <v>512</v>
      </c>
      <c r="C99" s="16" t="s">
        <v>513</v>
      </c>
      <c r="D99" s="24" t="s">
        <v>552</v>
      </c>
      <c r="E99" s="19" t="s">
        <v>811</v>
      </c>
      <c r="G99" s="13" t="s">
        <v>29</v>
      </c>
      <c r="H99" s="13" t="s">
        <v>812</v>
      </c>
      <c r="I99" s="13" t="s">
        <v>737</v>
      </c>
      <c r="K99" s="22">
        <v>45941</v>
      </c>
    </row>
    <row r="100" spans="1:11" ht="14.25" customHeight="1">
      <c r="A100" s="258" t="str">
        <f>B100&amp;C100&amp;D100</f>
        <v>T24CORECUSTOMERMA_BHXH</v>
      </c>
      <c r="B100" s="16" t="s">
        <v>512</v>
      </c>
      <c r="C100" s="16" t="s">
        <v>513</v>
      </c>
      <c r="D100" s="24" t="s">
        <v>553</v>
      </c>
      <c r="E100" s="19" t="s">
        <v>813</v>
      </c>
      <c r="G100" s="13" t="s">
        <v>29</v>
      </c>
      <c r="H100" s="13" t="s">
        <v>814</v>
      </c>
      <c r="I100" s="13" t="s">
        <v>737</v>
      </c>
      <c r="K100" s="22">
        <v>45941</v>
      </c>
    </row>
    <row r="101" spans="1:11" ht="14.25" customHeight="1">
      <c r="A101" s="258" t="str">
        <f>B101&amp;C101&amp;D101</f>
        <v>T24CORECUSTOMERMAU_HD</v>
      </c>
      <c r="B101" s="16" t="s">
        <v>512</v>
      </c>
      <c r="C101" s="16" t="s">
        <v>513</v>
      </c>
      <c r="D101" s="24" t="s">
        <v>554</v>
      </c>
      <c r="E101" s="19" t="s">
        <v>755</v>
      </c>
      <c r="I101" s="13" t="s">
        <v>737</v>
      </c>
    </row>
    <row r="102" spans="1:11" ht="14.25" customHeight="1">
      <c r="A102" s="258" t="str">
        <f>B102&amp;C102&amp;D102</f>
        <v>T24CORECUSTOMERMB_CR_STT</v>
      </c>
      <c r="B102" s="16" t="s">
        <v>512</v>
      </c>
      <c r="C102" s="16" t="s">
        <v>513</v>
      </c>
      <c r="D102" s="24" t="s">
        <v>555</v>
      </c>
      <c r="E102" s="19" t="s">
        <v>755</v>
      </c>
      <c r="I102" s="13" t="s">
        <v>737</v>
      </c>
    </row>
    <row r="103" spans="1:11" ht="14.25" customHeight="1">
      <c r="A103" s="258" t="str">
        <f>B103&amp;C103&amp;D103</f>
        <v>T24CORECUSTOMERMB_INDUSTRY</v>
      </c>
      <c r="B103" s="16" t="s">
        <v>512</v>
      </c>
      <c r="C103" s="16" t="s">
        <v>513</v>
      </c>
      <c r="D103" s="24" t="s">
        <v>556</v>
      </c>
      <c r="E103" s="19" t="s">
        <v>815</v>
      </c>
      <c r="F103" s="13" t="s">
        <v>736</v>
      </c>
      <c r="G103" s="13" t="s">
        <v>774</v>
      </c>
      <c r="H103" s="13" t="s">
        <v>816</v>
      </c>
      <c r="I103" s="13" t="s">
        <v>737</v>
      </c>
      <c r="K103" s="22">
        <v>45978</v>
      </c>
    </row>
    <row r="104" spans="1:11" ht="14.25" customHeight="1">
      <c r="A104" s="258" t="str">
        <f>B104&amp;C104&amp;D104</f>
        <v>T24CORECUSTOMERMB_RM_BANCHEO</v>
      </c>
      <c r="B104" s="16" t="s">
        <v>512</v>
      </c>
      <c r="C104" s="16" t="s">
        <v>513</v>
      </c>
      <c r="D104" s="24" t="s">
        <v>557</v>
      </c>
      <c r="E104" s="19" t="s">
        <v>817</v>
      </c>
      <c r="I104" s="13" t="s">
        <v>737</v>
      </c>
    </row>
    <row r="105" spans="1:11" ht="14.25" customHeight="1">
      <c r="A105" s="258" t="str">
        <f>B105&amp;C105&amp;D105</f>
        <v>T24CORECUSTOMERMOBILE_BANKING_SERVICE</v>
      </c>
      <c r="B105" s="16" t="s">
        <v>512</v>
      </c>
      <c r="C105" s="16" t="s">
        <v>513</v>
      </c>
      <c r="D105" s="24" t="s">
        <v>558</v>
      </c>
      <c r="E105" s="19" t="s">
        <v>818</v>
      </c>
      <c r="G105" s="13" t="s">
        <v>774</v>
      </c>
      <c r="H105" s="13" t="s">
        <v>819</v>
      </c>
      <c r="I105" s="13" t="s">
        <v>737</v>
      </c>
      <c r="K105" s="22">
        <v>45941</v>
      </c>
    </row>
    <row r="106" spans="1:11" ht="14.25" customHeight="1">
      <c r="A106" s="258" t="str">
        <f>B106&amp;C106&amp;D106</f>
        <v>T24CORECUSTOMERMOBILE_NUMBER</v>
      </c>
      <c r="B106" s="16" t="s">
        <v>512</v>
      </c>
      <c r="C106" s="16" t="s">
        <v>513</v>
      </c>
      <c r="D106" s="24" t="s">
        <v>559</v>
      </c>
      <c r="E106" s="19" t="s">
        <v>820</v>
      </c>
      <c r="F106" s="13" t="s">
        <v>736</v>
      </c>
      <c r="G106" s="13" t="s">
        <v>800</v>
      </c>
      <c r="H106" s="13" t="s">
        <v>801</v>
      </c>
      <c r="I106" s="13" t="s">
        <v>737</v>
      </c>
    </row>
    <row r="107" spans="1:11" ht="14.25" customHeight="1">
      <c r="A107" s="258" t="str">
        <f>B107&amp;C107&amp;D107</f>
        <v>T24CORECUSTOMERNAT_ID_EXP_DATE</v>
      </c>
      <c r="B107" s="16" t="s">
        <v>512</v>
      </c>
      <c r="C107" s="16" t="s">
        <v>513</v>
      </c>
      <c r="D107" s="24" t="s">
        <v>821</v>
      </c>
      <c r="E107" s="19" t="s">
        <v>822</v>
      </c>
      <c r="G107" s="13" t="s">
        <v>823</v>
      </c>
      <c r="H107" s="13" t="s">
        <v>824</v>
      </c>
      <c r="I107" s="13" t="s">
        <v>737</v>
      </c>
    </row>
    <row r="108" spans="1:11" ht="14.25" customHeight="1">
      <c r="A108" s="258" t="str">
        <f>B108&amp;C108&amp;D108</f>
        <v>T24CORECUSTOMERNAT_ID_ISS_DATE</v>
      </c>
      <c r="B108" s="16" t="s">
        <v>512</v>
      </c>
      <c r="C108" s="16" t="s">
        <v>513</v>
      </c>
      <c r="D108" s="16" t="s">
        <v>825</v>
      </c>
      <c r="E108" s="19" t="s">
        <v>826</v>
      </c>
      <c r="G108" s="13" t="s">
        <v>823</v>
      </c>
      <c r="H108" s="13" t="s">
        <v>827</v>
      </c>
      <c r="I108" s="13" t="s">
        <v>737</v>
      </c>
    </row>
    <row r="109" spans="1:11" ht="14.25" customHeight="1">
      <c r="A109" s="258" t="str">
        <f>B109&amp;C109&amp;D109</f>
        <v>T24CORECUSTOMERNAT_ID_ISS_PLC</v>
      </c>
      <c r="B109" s="16" t="s">
        <v>512</v>
      </c>
      <c r="C109" s="16" t="s">
        <v>513</v>
      </c>
      <c r="D109" s="24" t="s">
        <v>562</v>
      </c>
      <c r="E109" s="18" t="s">
        <v>828</v>
      </c>
      <c r="G109" s="13" t="s">
        <v>823</v>
      </c>
      <c r="H109" s="13" t="s">
        <v>829</v>
      </c>
      <c r="I109" s="13" t="s">
        <v>737</v>
      </c>
    </row>
    <row r="110" spans="1:11" ht="14.25" customHeight="1">
      <c r="A110" s="258" t="str">
        <f>B110&amp;C110&amp;D110</f>
        <v>T24CORECUSTOMERNAT_ID_TYPE</v>
      </c>
      <c r="B110" s="16" t="s">
        <v>512</v>
      </c>
      <c r="C110" s="16" t="s">
        <v>513</v>
      </c>
      <c r="D110" s="24" t="s">
        <v>563</v>
      </c>
      <c r="E110" s="19" t="s">
        <v>830</v>
      </c>
      <c r="G110" s="13" t="s">
        <v>823</v>
      </c>
      <c r="H110" s="13" t="s">
        <v>831</v>
      </c>
      <c r="I110" s="13" t="s">
        <v>737</v>
      </c>
    </row>
    <row r="111" spans="1:11" ht="14.25" customHeight="1">
      <c r="A111" s="258" t="str">
        <f>B111&amp;C111&amp;D111</f>
        <v>T24CORECUSTOMERNATIONAL_ID</v>
      </c>
      <c r="B111" s="16" t="s">
        <v>512</v>
      </c>
      <c r="C111" s="16" t="s">
        <v>513</v>
      </c>
      <c r="D111" s="24" t="s">
        <v>564</v>
      </c>
      <c r="E111" s="19" t="s">
        <v>832</v>
      </c>
      <c r="G111" s="13" t="s">
        <v>823</v>
      </c>
      <c r="H111" s="13" t="s">
        <v>833</v>
      </c>
      <c r="I111" s="13" t="s">
        <v>737</v>
      </c>
    </row>
    <row r="112" spans="1:11" ht="14.25" customHeight="1">
      <c r="A112" s="258" t="str">
        <f>B112&amp;C112&amp;D112</f>
        <v>T24CORECUSTOMERNATIONALITY</v>
      </c>
      <c r="B112" s="16" t="s">
        <v>512</v>
      </c>
      <c r="C112" s="16" t="s">
        <v>513</v>
      </c>
      <c r="D112" s="24" t="s">
        <v>566</v>
      </c>
      <c r="E112" s="19" t="s">
        <v>834</v>
      </c>
      <c r="G112" s="13" t="s">
        <v>29</v>
      </c>
      <c r="H112" s="13" t="s">
        <v>835</v>
      </c>
      <c r="I112" s="13" t="s">
        <v>737</v>
      </c>
      <c r="K112" s="22">
        <v>45941</v>
      </c>
    </row>
    <row r="113" spans="1:11" ht="14.25" customHeight="1">
      <c r="A113" s="258" t="str">
        <f>B113&amp;C113&amp;D113</f>
        <v>T24CORECUSTOMERNET_MONTHLY_IN</v>
      </c>
      <c r="B113" s="16" t="s">
        <v>512</v>
      </c>
      <c r="C113" s="16" t="s">
        <v>513</v>
      </c>
      <c r="D113" s="24" t="s">
        <v>567</v>
      </c>
      <c r="E113" s="19" t="s">
        <v>836</v>
      </c>
      <c r="G113" s="13" t="s">
        <v>35</v>
      </c>
      <c r="H113" s="13" t="s">
        <v>837</v>
      </c>
      <c r="I113" s="13" t="s">
        <v>737</v>
      </c>
    </row>
    <row r="114" spans="1:11" ht="14.25" customHeight="1">
      <c r="A114" s="258" t="str">
        <f>B114&amp;C114&amp;D114</f>
        <v>T24CORECUSTOMERNO_LIEN_DOI</v>
      </c>
      <c r="B114" s="16" t="s">
        <v>512</v>
      </c>
      <c r="C114" s="16" t="s">
        <v>513</v>
      </c>
      <c r="D114" s="24" t="s">
        <v>568</v>
      </c>
      <c r="E114" s="19" t="s">
        <v>838</v>
      </c>
      <c r="G114" s="13" t="s">
        <v>774</v>
      </c>
      <c r="H114" s="13" t="s">
        <v>839</v>
      </c>
      <c r="I114" s="13" t="s">
        <v>737</v>
      </c>
      <c r="K114" s="22">
        <v>45941</v>
      </c>
    </row>
    <row r="115" spans="1:11" ht="14.25" customHeight="1">
      <c r="A115" s="258" t="str">
        <f>B115&amp;C115&amp;D115</f>
        <v>T24CORECUSTOMEROCCUPATION</v>
      </c>
      <c r="B115" s="16" t="s">
        <v>512</v>
      </c>
      <c r="C115" s="16" t="s">
        <v>513</v>
      </c>
      <c r="D115" s="24" t="s">
        <v>569</v>
      </c>
      <c r="E115" s="19" t="s">
        <v>840</v>
      </c>
      <c r="G115" s="13" t="s">
        <v>35</v>
      </c>
      <c r="H115" s="13" t="s">
        <v>841</v>
      </c>
      <c r="I115" s="13" t="s">
        <v>737</v>
      </c>
    </row>
    <row r="116" spans="1:11" ht="14.25" customHeight="1">
      <c r="A116" s="258" t="str">
        <f>B116&amp;C116&amp;D116</f>
        <v>T24CORECUSTOMEROPEN_COMPANY</v>
      </c>
      <c r="B116" s="16" t="s">
        <v>512</v>
      </c>
      <c r="C116" s="16" t="s">
        <v>513</v>
      </c>
      <c r="D116" s="24" t="s">
        <v>570</v>
      </c>
      <c r="E116" s="19" t="s">
        <v>842</v>
      </c>
      <c r="G116" s="13" t="s">
        <v>23</v>
      </c>
      <c r="H116" s="13" t="s">
        <v>843</v>
      </c>
      <c r="I116" s="13" t="s">
        <v>737</v>
      </c>
    </row>
    <row r="117" spans="1:11" ht="14.25" customHeight="1">
      <c r="A117" s="258" t="str">
        <f>B117&amp;C117&amp;D117</f>
        <v>T24CORECUSTOMERPHONE_CONT_PER</v>
      </c>
      <c r="B117" s="16" t="s">
        <v>512</v>
      </c>
      <c r="C117" s="16" t="s">
        <v>513</v>
      </c>
      <c r="D117" s="24" t="s">
        <v>572</v>
      </c>
      <c r="E117" s="19" t="s">
        <v>844</v>
      </c>
      <c r="G117" s="13" t="s">
        <v>800</v>
      </c>
      <c r="H117" s="13" t="s">
        <v>801</v>
      </c>
      <c r="I117" s="13" t="s">
        <v>737</v>
      </c>
      <c r="J117" s="13" t="s">
        <v>845</v>
      </c>
      <c r="K117" s="22">
        <v>45941</v>
      </c>
    </row>
    <row r="118" spans="1:11" ht="14.25" customHeight="1">
      <c r="A118" s="258" t="str">
        <f>B118&amp;C118&amp;D118</f>
        <v>T24CORECUSTOMERRECID</v>
      </c>
      <c r="B118" s="258" t="s">
        <v>512</v>
      </c>
      <c r="C118" s="16" t="s">
        <v>513</v>
      </c>
      <c r="D118" s="258" t="s">
        <v>490</v>
      </c>
      <c r="E118" s="19" t="s">
        <v>846</v>
      </c>
      <c r="F118" s="13" t="s">
        <v>736</v>
      </c>
      <c r="G118" s="13" t="s">
        <v>23</v>
      </c>
      <c r="H118" s="13" t="s">
        <v>847</v>
      </c>
      <c r="I118" s="13" t="s">
        <v>737</v>
      </c>
    </row>
    <row r="119" spans="1:11" ht="14.25" customHeight="1">
      <c r="A119" s="258" t="str">
        <f>B119&amp;C119&amp;D119</f>
        <v>T24CORECUSTOMERREFERRED_BY</v>
      </c>
      <c r="B119" s="16" t="s">
        <v>512</v>
      </c>
      <c r="C119" s="16" t="s">
        <v>513</v>
      </c>
      <c r="D119" s="24" t="s">
        <v>574</v>
      </c>
      <c r="E119" s="18" t="s">
        <v>848</v>
      </c>
      <c r="G119" s="13" t="s">
        <v>23</v>
      </c>
      <c r="H119" s="13" t="s">
        <v>849</v>
      </c>
      <c r="I119" s="13" t="s">
        <v>737</v>
      </c>
    </row>
    <row r="120" spans="1:11" ht="14.25" customHeight="1">
      <c r="A120" s="258" t="str">
        <f>B120&amp;C120&amp;D120</f>
        <v>T24CORECUSTOMERRESID_PROVINCE</v>
      </c>
      <c r="B120" s="16" t="s">
        <v>512</v>
      </c>
      <c r="C120" s="16" t="s">
        <v>513</v>
      </c>
      <c r="D120" s="24" t="s">
        <v>575</v>
      </c>
      <c r="E120" s="19" t="s">
        <v>850</v>
      </c>
      <c r="G120" s="13" t="s">
        <v>56</v>
      </c>
      <c r="H120" s="13" t="s">
        <v>851</v>
      </c>
      <c r="I120" s="13" t="s">
        <v>737</v>
      </c>
    </row>
    <row r="121" spans="1:11" ht="14.25" customHeight="1">
      <c r="A121" s="258" t="str">
        <f>B121&amp;C121&amp;D121</f>
        <v>T24CORECUSTOMERRESIDENCE</v>
      </c>
      <c r="B121" s="16" t="s">
        <v>512</v>
      </c>
      <c r="C121" s="16" t="s">
        <v>513</v>
      </c>
      <c r="D121" s="24" t="s">
        <v>576</v>
      </c>
      <c r="E121" s="13" t="s">
        <v>852</v>
      </c>
      <c r="G121" s="13" t="s">
        <v>56</v>
      </c>
      <c r="H121" s="13" t="s">
        <v>792</v>
      </c>
      <c r="I121" s="13" t="s">
        <v>737</v>
      </c>
    </row>
    <row r="122" spans="1:11" ht="14.25" customHeight="1">
      <c r="A122" s="258" t="str">
        <f>B122&amp;C122&amp;D122</f>
        <v>T24CORECUSTOMERSECOND_OFFICER</v>
      </c>
      <c r="B122" s="16" t="s">
        <v>512</v>
      </c>
      <c r="C122" s="16" t="s">
        <v>513</v>
      </c>
      <c r="D122" s="24" t="s">
        <v>577</v>
      </c>
      <c r="E122" s="18" t="s">
        <v>853</v>
      </c>
      <c r="G122" s="13" t="s">
        <v>23</v>
      </c>
      <c r="H122" s="13" t="s">
        <v>854</v>
      </c>
      <c r="I122" s="13" t="s">
        <v>737</v>
      </c>
    </row>
    <row r="123" spans="1:11" ht="14.25" customHeight="1">
      <c r="A123" s="258" t="str">
        <f>B123&amp;C123&amp;D123</f>
        <v>T24CORECUSTOMERSECTOR</v>
      </c>
      <c r="B123" s="16" t="s">
        <v>512</v>
      </c>
      <c r="C123" s="16" t="s">
        <v>513</v>
      </c>
      <c r="D123" s="24" t="s">
        <v>579</v>
      </c>
      <c r="E123" s="19" t="s">
        <v>855</v>
      </c>
      <c r="F123" s="13" t="s">
        <v>736</v>
      </c>
      <c r="G123" s="13" t="s">
        <v>23</v>
      </c>
      <c r="H123" s="13" t="s">
        <v>856</v>
      </c>
      <c r="I123" s="13" t="s">
        <v>737</v>
      </c>
    </row>
    <row r="124" spans="1:11" ht="14.25" customHeight="1">
      <c r="A124" s="258" t="str">
        <f>B124&amp;C124&amp;D124</f>
        <v>T24CORECUSTOMERSHORT_NAME</v>
      </c>
      <c r="B124" s="16" t="s">
        <v>512</v>
      </c>
      <c r="C124" s="16" t="s">
        <v>513</v>
      </c>
      <c r="D124" s="24" t="s">
        <v>580</v>
      </c>
      <c r="E124" s="19" t="s">
        <v>857</v>
      </c>
      <c r="G124" s="13" t="s">
        <v>23</v>
      </c>
      <c r="H124" s="13" t="s">
        <v>858</v>
      </c>
      <c r="I124" s="13" t="s">
        <v>737</v>
      </c>
    </row>
    <row r="125" spans="1:11" ht="14.25" customHeight="1">
      <c r="A125" s="258" t="str">
        <f>B125&amp;C125&amp;D125</f>
        <v>T24CORECUSTOMERSTREET</v>
      </c>
      <c r="B125" s="16" t="s">
        <v>512</v>
      </c>
      <c r="C125" s="16" t="s">
        <v>513</v>
      </c>
      <c r="D125" s="24" t="s">
        <v>581</v>
      </c>
      <c r="E125" s="19" t="s">
        <v>859</v>
      </c>
      <c r="I125" s="13" t="s">
        <v>737</v>
      </c>
    </row>
    <row r="126" spans="1:11" ht="14.25" customHeight="1">
      <c r="A126" s="258" t="str">
        <f>B126&amp;C126&amp;D126</f>
        <v>T24CORECUSTOMERTARGET</v>
      </c>
      <c r="B126" s="16" t="s">
        <v>512</v>
      </c>
      <c r="C126" s="16" t="s">
        <v>513</v>
      </c>
      <c r="D126" s="24" t="s">
        <v>582</v>
      </c>
      <c r="E126" s="19" t="s">
        <v>755</v>
      </c>
      <c r="I126" s="13" t="s">
        <v>737</v>
      </c>
    </row>
    <row r="127" spans="1:11" ht="14.25" customHeight="1">
      <c r="A127" s="258" t="str">
        <f>B127&amp;C127&amp;D127</f>
        <v>T24CORECUSTOMERTAX_SERIAL</v>
      </c>
      <c r="B127" s="16" t="s">
        <v>512</v>
      </c>
      <c r="C127" s="16" t="s">
        <v>513</v>
      </c>
      <c r="D127" s="24" t="s">
        <v>860</v>
      </c>
      <c r="E127" s="19" t="s">
        <v>861</v>
      </c>
      <c r="G127" s="13" t="s">
        <v>774</v>
      </c>
      <c r="H127" s="13" t="s">
        <v>862</v>
      </c>
      <c r="I127" s="13" t="s">
        <v>737</v>
      </c>
      <c r="K127" s="22">
        <v>45941</v>
      </c>
    </row>
    <row r="128" spans="1:11" ht="14.25" customHeight="1">
      <c r="A128" s="258" t="str">
        <f>B128&amp;C128&amp;D128</f>
        <v>T24CORECUSTOMERTXN_DATE</v>
      </c>
      <c r="B128" s="16" t="s">
        <v>512</v>
      </c>
      <c r="C128" s="16" t="s">
        <v>513</v>
      </c>
      <c r="D128" s="24" t="s">
        <v>503</v>
      </c>
      <c r="E128" s="19" t="s">
        <v>755</v>
      </c>
      <c r="I128" s="13" t="s">
        <v>737</v>
      </c>
    </row>
    <row r="129" spans="1:11" ht="14.25" customHeight="1">
      <c r="A129" s="258" t="str">
        <f>B129&amp;C129&amp;D129</f>
        <v>T24CORECUSTOMERVAT_INV_DATE</v>
      </c>
      <c r="B129" s="16" t="s">
        <v>512</v>
      </c>
      <c r="C129" s="16" t="s">
        <v>513</v>
      </c>
      <c r="D129" s="24" t="s">
        <v>863</v>
      </c>
      <c r="E129" s="19" t="s">
        <v>864</v>
      </c>
      <c r="I129" s="13" t="s">
        <v>737</v>
      </c>
    </row>
    <row r="130" spans="1:11" ht="14.25" customHeight="1">
      <c r="A130" s="258" t="str">
        <f>B130&amp;C130&amp;D130</f>
        <v>T24CORECUSTOMERVAT_INV_SERIAL</v>
      </c>
      <c r="B130" s="16" t="s">
        <v>512</v>
      </c>
      <c r="C130" s="16" t="s">
        <v>513</v>
      </c>
      <c r="D130" s="24" t="s">
        <v>865</v>
      </c>
      <c r="E130" s="19" t="s">
        <v>866</v>
      </c>
      <c r="I130" s="13" t="s">
        <v>737</v>
      </c>
    </row>
    <row r="131" spans="1:11" ht="14.25" customHeight="1">
      <c r="A131" s="258" t="str">
        <f>B131&amp;C131&amp;D131</f>
        <v>T24CORECUSTOMERVIP_CUSTOMER</v>
      </c>
      <c r="B131" s="16" t="s">
        <v>512</v>
      </c>
      <c r="C131" s="16" t="s">
        <v>513</v>
      </c>
      <c r="D131" s="24" t="s">
        <v>586</v>
      </c>
      <c r="E131" s="19" t="s">
        <v>867</v>
      </c>
      <c r="G131" s="13" t="s">
        <v>774</v>
      </c>
      <c r="H131" s="13" t="s">
        <v>868</v>
      </c>
      <c r="I131" s="13" t="s">
        <v>737</v>
      </c>
      <c r="K131" s="22">
        <v>45941</v>
      </c>
    </row>
    <row r="132" spans="1:11" ht="14.25" customHeight="1">
      <c r="A132" s="258" t="str">
        <f>B132&amp;C132&amp;D132</f>
        <v>T24CORECUSTOMERVN_FULL_NAME</v>
      </c>
      <c r="B132" s="16" t="s">
        <v>512</v>
      </c>
      <c r="C132" s="16" t="s">
        <v>513</v>
      </c>
      <c r="D132" s="24" t="s">
        <v>587</v>
      </c>
      <c r="E132" s="19" t="s">
        <v>869</v>
      </c>
      <c r="F132" s="13" t="s">
        <v>736</v>
      </c>
      <c r="G132" s="13" t="s">
        <v>23</v>
      </c>
      <c r="H132" s="13" t="s">
        <v>870</v>
      </c>
      <c r="I132" s="13" t="s">
        <v>737</v>
      </c>
    </row>
    <row r="133" spans="1:11" ht="14.25" customHeight="1">
      <c r="A133" s="258" t="str">
        <f>B133&amp;C133&amp;D133</f>
        <v>T24CORECUSTOMERVN_GENDER</v>
      </c>
      <c r="B133" s="16" t="s">
        <v>512</v>
      </c>
      <c r="C133" s="16" t="s">
        <v>513</v>
      </c>
      <c r="D133" s="24" t="s">
        <v>871</v>
      </c>
      <c r="E133" s="19" t="s">
        <v>872</v>
      </c>
      <c r="G133" s="13" t="s">
        <v>29</v>
      </c>
      <c r="H133" s="13" t="s">
        <v>873</v>
      </c>
      <c r="I133" s="13" t="s">
        <v>737</v>
      </c>
      <c r="K133" s="22">
        <v>45941</v>
      </c>
    </row>
    <row r="134" spans="1:11" ht="14.25" customHeight="1">
      <c r="A134" s="258" t="str">
        <f>B134&amp;C134&amp;D134</f>
        <v>T24CORECUSTOMERVN_STREET</v>
      </c>
      <c r="B134" s="16" t="s">
        <v>512</v>
      </c>
      <c r="C134" s="16" t="s">
        <v>513</v>
      </c>
      <c r="D134" s="24" t="s">
        <v>589</v>
      </c>
      <c r="E134" s="19" t="s">
        <v>859</v>
      </c>
      <c r="G134" s="13" t="s">
        <v>56</v>
      </c>
      <c r="H134" s="13" t="s">
        <v>874</v>
      </c>
      <c r="I134" s="13" t="s">
        <v>737</v>
      </c>
    </row>
    <row r="135" spans="1:11" ht="14.25" customHeight="1">
      <c r="A135" s="258" t="str">
        <f>B135&amp;C135&amp;D135</f>
        <v>T24CORECUSTOMERVN_TOWN</v>
      </c>
      <c r="B135" s="16" t="s">
        <v>512</v>
      </c>
      <c r="C135" s="16" t="s">
        <v>513</v>
      </c>
      <c r="D135" s="24" t="s">
        <v>590</v>
      </c>
      <c r="E135" s="19" t="s">
        <v>875</v>
      </c>
      <c r="G135" s="13" t="s">
        <v>56</v>
      </c>
      <c r="H135" s="13" t="s">
        <v>851</v>
      </c>
      <c r="I135" s="13" t="s">
        <v>737</v>
      </c>
    </row>
    <row r="136" spans="1:11" ht="14.25" customHeight="1">
      <c r="A136" s="258" t="str">
        <f>B136&amp;C136&amp;D136</f>
        <v>T24COREDEPT_ACCT_OFFICERNAME</v>
      </c>
      <c r="B136" s="17" t="s">
        <v>512</v>
      </c>
      <c r="C136" s="17" t="s">
        <v>591</v>
      </c>
      <c r="D136" s="258" t="s">
        <v>592</v>
      </c>
      <c r="E136" s="19" t="s">
        <v>876</v>
      </c>
      <c r="F136" s="13" t="s">
        <v>736</v>
      </c>
      <c r="I136" s="13" t="s">
        <v>737</v>
      </c>
    </row>
    <row r="137" spans="1:11" ht="14.25" customHeight="1">
      <c r="A137" s="258" t="str">
        <f>B137&amp;C137&amp;D137</f>
        <v>T24COREDEPT_ACCT_OFFICERRECID</v>
      </c>
      <c r="B137" s="16" t="s">
        <v>512</v>
      </c>
      <c r="C137" s="16" t="s">
        <v>591</v>
      </c>
      <c r="D137" s="258" t="s">
        <v>490</v>
      </c>
      <c r="E137" s="19" t="s">
        <v>853</v>
      </c>
      <c r="F137" s="13" t="s">
        <v>736</v>
      </c>
      <c r="I137" s="13" t="s">
        <v>737</v>
      </c>
    </row>
    <row r="138" spans="1:11" ht="14.25" customHeight="1">
      <c r="A138" s="258" t="str">
        <f>B138&amp;C138&amp;D138</f>
        <v>T24CORELD_LOANS_AND_DEPOSITSACC_FCC</v>
      </c>
      <c r="B138" s="258" t="s">
        <v>512</v>
      </c>
      <c r="C138" s="16" t="s">
        <v>593</v>
      </c>
      <c r="D138" s="258" t="s">
        <v>507</v>
      </c>
      <c r="E138" s="13" t="s">
        <v>735</v>
      </c>
      <c r="F138" s="13" t="s">
        <v>721</v>
      </c>
      <c r="G138" s="13" t="s">
        <v>69</v>
      </c>
      <c r="H138" s="13" t="s">
        <v>877</v>
      </c>
      <c r="I138" s="13" t="s">
        <v>737</v>
      </c>
    </row>
    <row r="139" spans="1:11" ht="14.25" customHeight="1">
      <c r="A139" s="258" t="str">
        <f>B139&amp;C139&amp;D139</f>
        <v>T24CORELD_LOANS_AND_DEPOSITSAMOUNT</v>
      </c>
      <c r="B139" s="17" t="s">
        <v>512</v>
      </c>
      <c r="C139" s="17" t="s">
        <v>593</v>
      </c>
      <c r="D139" s="258" t="s">
        <v>594</v>
      </c>
      <c r="E139" s="19" t="s">
        <v>878</v>
      </c>
      <c r="F139" s="13" t="s">
        <v>721</v>
      </c>
      <c r="I139" s="13" t="s">
        <v>737</v>
      </c>
    </row>
    <row r="140" spans="1:11" ht="14.25" customHeight="1">
      <c r="A140" s="258" t="str">
        <f>B140&amp;C140&amp;D140</f>
        <v>T24CORELD_LOANS_AND_DEPOSITSAPPROVE_AMOUNT</v>
      </c>
      <c r="B140" s="258" t="s">
        <v>512</v>
      </c>
      <c r="C140" s="16" t="s">
        <v>593</v>
      </c>
      <c r="D140" s="258" t="s">
        <v>595</v>
      </c>
      <c r="E140" s="19" t="s">
        <v>879</v>
      </c>
      <c r="F140" s="13" t="s">
        <v>736</v>
      </c>
      <c r="G140" s="13" t="s">
        <v>69</v>
      </c>
      <c r="H140" s="13" t="s">
        <v>880</v>
      </c>
      <c r="I140" s="13" t="s">
        <v>737</v>
      </c>
    </row>
    <row r="141" spans="1:11" ht="14.25" customHeight="1">
      <c r="A141" s="258" t="str">
        <f>B141&amp;C141&amp;D141</f>
        <v>T24CORELD_LOANS_AND_DEPOSITSAUTHORISER</v>
      </c>
      <c r="B141" s="258" t="s">
        <v>512</v>
      </c>
      <c r="C141" s="16" t="s">
        <v>593</v>
      </c>
      <c r="D141" s="258" t="s">
        <v>596</v>
      </c>
      <c r="E141" s="13" t="s">
        <v>881</v>
      </c>
      <c r="F141" s="13" t="s">
        <v>736</v>
      </c>
      <c r="G141" s="13" t="s">
        <v>670</v>
      </c>
      <c r="H141" s="13" t="s">
        <v>854</v>
      </c>
      <c r="I141" s="13" t="s">
        <v>737</v>
      </c>
    </row>
    <row r="142" spans="1:11" ht="14.25" customHeight="1">
      <c r="A142" s="258" t="str">
        <f>B142&amp;C142&amp;D142</f>
        <v>T24CORELD_LOANS_AND_DEPOSITSCATEGORY</v>
      </c>
      <c r="B142" s="258" t="s">
        <v>512</v>
      </c>
      <c r="C142" s="16" t="s">
        <v>593</v>
      </c>
      <c r="D142" s="258" t="s">
        <v>597</v>
      </c>
      <c r="E142" s="13" t="s">
        <v>747</v>
      </c>
      <c r="F142" s="13" t="s">
        <v>736</v>
      </c>
      <c r="G142" s="13" t="s">
        <v>69</v>
      </c>
      <c r="H142" s="13" t="s">
        <v>748</v>
      </c>
      <c r="I142" s="13" t="s">
        <v>737</v>
      </c>
      <c r="K142" s="22">
        <v>45972</v>
      </c>
    </row>
    <row r="143" spans="1:11" ht="14.25" customHeight="1">
      <c r="A143" s="258" t="str">
        <f>B143&amp;C143&amp;D143</f>
        <v>T24CORELD_LOANS_AND_DEPOSITSCO_CODE</v>
      </c>
      <c r="B143" s="258" t="s">
        <v>512</v>
      </c>
      <c r="C143" s="16" t="s">
        <v>593</v>
      </c>
      <c r="D143" s="258" t="s">
        <v>460</v>
      </c>
      <c r="E143" s="13" t="s">
        <v>882</v>
      </c>
      <c r="F143" s="13" t="s">
        <v>736</v>
      </c>
      <c r="G143" s="13" t="s">
        <v>883</v>
      </c>
      <c r="H143" s="13" t="s">
        <v>884</v>
      </c>
      <c r="I143" s="13" t="s">
        <v>737</v>
      </c>
    </row>
    <row r="144" spans="1:11" ht="14.25" customHeight="1">
      <c r="A144" s="258" t="str">
        <f>B144&amp;C144&amp;D144</f>
        <v>T24CORELD_LOANS_AND_DEPOSITSCOMMIT_ACTION</v>
      </c>
      <c r="B144" s="258" t="s">
        <v>512</v>
      </c>
      <c r="C144" s="16" t="s">
        <v>593</v>
      </c>
      <c r="D144" s="258" t="s">
        <v>461</v>
      </c>
      <c r="E144" s="13" t="s">
        <v>885</v>
      </c>
      <c r="F144" s="13" t="s">
        <v>736</v>
      </c>
      <c r="I144" s="13" t="s">
        <v>737</v>
      </c>
    </row>
    <row r="145" spans="1:9" ht="14.25" customHeight="1">
      <c r="A145" s="258" t="str">
        <f>B145&amp;C145&amp;D145</f>
        <v>T24CORELD_LOANS_AND_DEPOSITSCRA_LD</v>
      </c>
      <c r="B145" s="16" t="s">
        <v>512</v>
      </c>
      <c r="C145" s="16" t="s">
        <v>593</v>
      </c>
      <c r="D145" s="280" t="s">
        <v>598</v>
      </c>
      <c r="E145" s="23" t="s">
        <v>886</v>
      </c>
      <c r="F145" s="23" t="s">
        <v>736</v>
      </c>
      <c r="G145" s="23" t="s">
        <v>69</v>
      </c>
      <c r="H145" s="23" t="s">
        <v>887</v>
      </c>
      <c r="I145" s="13" t="s">
        <v>737</v>
      </c>
    </row>
    <row r="146" spans="1:9" ht="14.25" customHeight="1">
      <c r="A146" s="258" t="str">
        <f>B146&amp;C146&amp;D146</f>
        <v>T24CORELD_LOANS_AND_DEPOSITSCURR_NO</v>
      </c>
      <c r="B146" s="16" t="s">
        <v>512</v>
      </c>
      <c r="C146" s="16" t="s">
        <v>593</v>
      </c>
      <c r="D146" s="258" t="s">
        <v>468</v>
      </c>
      <c r="E146" s="13" t="s">
        <v>888</v>
      </c>
      <c r="F146" s="13" t="s">
        <v>736</v>
      </c>
      <c r="I146" s="13" t="s">
        <v>737</v>
      </c>
    </row>
    <row r="147" spans="1:9" ht="14.25" customHeight="1">
      <c r="A147" s="258" t="str">
        <f>B147&amp;C147&amp;D147</f>
        <v>T24CORELD_LOANS_AND_DEPOSITSCURRENCY</v>
      </c>
      <c r="B147" s="16" t="s">
        <v>512</v>
      </c>
      <c r="C147" s="16" t="s">
        <v>593</v>
      </c>
      <c r="D147" s="258" t="s">
        <v>469</v>
      </c>
      <c r="E147" s="13" t="s">
        <v>282</v>
      </c>
      <c r="F147" s="13" t="s">
        <v>736</v>
      </c>
      <c r="G147" s="13" t="s">
        <v>69</v>
      </c>
      <c r="H147" s="13" t="s">
        <v>752</v>
      </c>
      <c r="I147" s="13" t="s">
        <v>737</v>
      </c>
    </row>
    <row r="148" spans="1:9" ht="14.25" customHeight="1">
      <c r="A148" s="258" t="str">
        <f>B148&amp;C148&amp;D148</f>
        <v>T24CORELD_LOANS_AND_DEPOSITSCUSTOMER_ID</v>
      </c>
      <c r="B148" s="258" t="s">
        <v>512</v>
      </c>
      <c r="C148" s="16" t="s">
        <v>593</v>
      </c>
      <c r="D148" s="258" t="s">
        <v>470</v>
      </c>
      <c r="E148" s="13" t="s">
        <v>254</v>
      </c>
      <c r="F148" s="13" t="s">
        <v>736</v>
      </c>
      <c r="G148" s="13" t="s">
        <v>69</v>
      </c>
      <c r="H148" s="13" t="s">
        <v>889</v>
      </c>
      <c r="I148" s="13" t="s">
        <v>737</v>
      </c>
    </row>
    <row r="149" spans="1:9" ht="14.25" customHeight="1">
      <c r="A149" s="258" t="str">
        <f>B149&amp;C149&amp;D149</f>
        <v>T24CORELD_LOANS_AND_DEPOSITSDATE_TIME</v>
      </c>
      <c r="B149" s="258" t="s">
        <v>512</v>
      </c>
      <c r="C149" s="16" t="s">
        <v>593</v>
      </c>
      <c r="D149" s="258" t="s">
        <v>472</v>
      </c>
      <c r="E149" s="13" t="s">
        <v>890</v>
      </c>
      <c r="F149" s="13" t="s">
        <v>736</v>
      </c>
      <c r="I149" s="13" t="s">
        <v>737</v>
      </c>
    </row>
    <row r="150" spans="1:9" ht="14.25" customHeight="1">
      <c r="A150" s="258" t="str">
        <f>B150&amp;C150&amp;D150</f>
        <v>T24CORELD_LOANS_AND_DEPOSITSDRAWDOWN_NET_AMT</v>
      </c>
      <c r="B150" s="258" t="s">
        <v>512</v>
      </c>
      <c r="C150" s="16" t="s">
        <v>593</v>
      </c>
      <c r="D150" s="258" t="s">
        <v>600</v>
      </c>
      <c r="E150" s="13" t="s">
        <v>891</v>
      </c>
      <c r="F150" s="13" t="s">
        <v>721</v>
      </c>
      <c r="G150" s="13" t="s">
        <v>69</v>
      </c>
      <c r="H150" s="13" t="s">
        <v>892</v>
      </c>
      <c r="I150" s="13" t="s">
        <v>737</v>
      </c>
    </row>
    <row r="151" spans="1:9" ht="14.25" customHeight="1">
      <c r="A151" s="258" t="str">
        <f>B151&amp;C151&amp;D151</f>
        <v>T24CORELD_LOANS_AND_DEPOSITSEXCG_RATE</v>
      </c>
      <c r="B151" s="16" t="s">
        <v>512</v>
      </c>
      <c r="C151" s="16" t="s">
        <v>593</v>
      </c>
      <c r="D151" s="258" t="s">
        <v>601</v>
      </c>
      <c r="E151" s="13" t="s">
        <v>893</v>
      </c>
      <c r="F151" s="13" t="s">
        <v>736</v>
      </c>
      <c r="G151" s="13" t="s">
        <v>69</v>
      </c>
      <c r="H151" s="13" t="s">
        <v>894</v>
      </c>
      <c r="I151" s="13" t="s">
        <v>737</v>
      </c>
    </row>
    <row r="152" spans="1:9" ht="14.25" customHeight="1">
      <c r="A152" s="258" t="str">
        <f>B152&amp;C152&amp;D152</f>
        <v>T24CORELD_LOANS_AND_DEPOSITSFCC_LIMIT</v>
      </c>
      <c r="B152" s="258" t="s">
        <v>512</v>
      </c>
      <c r="C152" s="16" t="s">
        <v>593</v>
      </c>
      <c r="D152" s="280" t="s">
        <v>602</v>
      </c>
      <c r="E152" s="13" t="s">
        <v>895</v>
      </c>
      <c r="F152" s="13" t="s">
        <v>736</v>
      </c>
      <c r="G152" s="13" t="s">
        <v>69</v>
      </c>
      <c r="H152" s="13" t="s">
        <v>896</v>
      </c>
      <c r="I152" s="13" t="s">
        <v>737</v>
      </c>
    </row>
    <row r="153" spans="1:9" ht="14.25" customHeight="1">
      <c r="A153" s="258" t="str">
        <f>B153&amp;C153&amp;D153</f>
        <v>T24CORELD_LOANS_AND_DEPOSITSFIN_MAT_DATE</v>
      </c>
      <c r="B153" s="258" t="s">
        <v>512</v>
      </c>
      <c r="C153" s="16" t="s">
        <v>593</v>
      </c>
      <c r="D153" s="258" t="s">
        <v>603</v>
      </c>
      <c r="E153" s="13" t="s">
        <v>757</v>
      </c>
      <c r="F153" s="13" t="s">
        <v>736</v>
      </c>
      <c r="G153" s="13" t="s">
        <v>69</v>
      </c>
      <c r="H153" s="13" t="s">
        <v>897</v>
      </c>
      <c r="I153" s="13" t="s">
        <v>737</v>
      </c>
    </row>
    <row r="154" spans="1:9" ht="14.25" customHeight="1">
      <c r="A154" s="258" t="str">
        <f>B154&amp;C154&amp;D154</f>
        <v>T24CORELD_LOANS_AND_DEPOSITSID</v>
      </c>
      <c r="B154" s="258" t="s">
        <v>512</v>
      </c>
      <c r="C154" s="16" t="s">
        <v>593</v>
      </c>
      <c r="D154" s="258" t="s">
        <v>439</v>
      </c>
      <c r="E154" s="13" t="s">
        <v>898</v>
      </c>
      <c r="F154" s="13" t="s">
        <v>721</v>
      </c>
      <c r="I154" s="13" t="s">
        <v>737</v>
      </c>
    </row>
    <row r="155" spans="1:9" ht="14.25" customHeight="1">
      <c r="A155" s="258" t="str">
        <f>B155&amp;C155&amp;D155</f>
        <v>T24CORELD_LOANS_AND_DEPOSITSINPUTTER</v>
      </c>
      <c r="B155" s="258" t="s">
        <v>512</v>
      </c>
      <c r="C155" s="16" t="s">
        <v>593</v>
      </c>
      <c r="D155" s="258" t="s">
        <v>604</v>
      </c>
      <c r="E155" s="13" t="s">
        <v>899</v>
      </c>
      <c r="F155" s="13" t="s">
        <v>736</v>
      </c>
      <c r="G155" s="13" t="s">
        <v>670</v>
      </c>
      <c r="H155" s="13" t="s">
        <v>772</v>
      </c>
      <c r="I155" s="13" t="s">
        <v>737</v>
      </c>
    </row>
    <row r="156" spans="1:9" ht="14.25" customHeight="1">
      <c r="A156" s="258" t="str">
        <f>B156&amp;C156&amp;D156</f>
        <v>T24CORELD_LOANS_AND_DEPOSITSINT_LIQ_ACCT</v>
      </c>
      <c r="B156" s="258" t="s">
        <v>512</v>
      </c>
      <c r="C156" s="16" t="s">
        <v>593</v>
      </c>
      <c r="D156" s="258" t="s">
        <v>605</v>
      </c>
      <c r="E156" s="13" t="s">
        <v>900</v>
      </c>
      <c r="F156" s="13" t="s">
        <v>736</v>
      </c>
      <c r="G156" s="13" t="s">
        <v>74</v>
      </c>
      <c r="H156" s="13" t="s">
        <v>901</v>
      </c>
      <c r="I156" s="13" t="s">
        <v>737</v>
      </c>
    </row>
    <row r="157" spans="1:9" ht="14.25" customHeight="1">
      <c r="A157" s="258" t="str">
        <f>B157&amp;C157&amp;D157</f>
        <v>T24CORELD_LOANS_AND_DEPOSITSINT_RATE_TYPE</v>
      </c>
      <c r="B157" s="258" t="s">
        <v>512</v>
      </c>
      <c r="C157" s="16" t="s">
        <v>593</v>
      </c>
      <c r="D157" s="258" t="s">
        <v>606</v>
      </c>
      <c r="E157" s="13" t="s">
        <v>902</v>
      </c>
      <c r="F157" s="13" t="s">
        <v>721</v>
      </c>
      <c r="G157" s="13" t="s">
        <v>207</v>
      </c>
      <c r="H157" s="13" t="s">
        <v>903</v>
      </c>
      <c r="I157" s="13" t="s">
        <v>737</v>
      </c>
    </row>
    <row r="158" spans="1:9" ht="14.25" customHeight="1">
      <c r="A158" s="258" t="str">
        <f>B158&amp;C158&amp;D158</f>
        <v>T24CORELD_LOANS_AND_DEPOSITSINT_VALUE_DATE</v>
      </c>
      <c r="B158" s="16" t="s">
        <v>512</v>
      </c>
      <c r="C158" s="16" t="s">
        <v>593</v>
      </c>
      <c r="D158" s="258" t="s">
        <v>607</v>
      </c>
      <c r="E158" s="13" t="s">
        <v>904</v>
      </c>
      <c r="F158" s="13" t="s">
        <v>721</v>
      </c>
      <c r="G158" s="13" t="s">
        <v>207</v>
      </c>
      <c r="H158" s="13" t="s">
        <v>905</v>
      </c>
      <c r="I158" s="13" t="s">
        <v>737</v>
      </c>
    </row>
    <row r="159" spans="1:9" ht="14.25" customHeight="1">
      <c r="A159" s="258" t="str">
        <f>B159&amp;C159&amp;D159</f>
        <v>T24CORELD_LOANS_AND_DEPOSITSINTEREST_RATE</v>
      </c>
      <c r="B159" s="258" t="s">
        <v>512</v>
      </c>
      <c r="C159" s="16" t="s">
        <v>593</v>
      </c>
      <c r="D159" s="258" t="s">
        <v>608</v>
      </c>
      <c r="E159" s="13" t="s">
        <v>906</v>
      </c>
      <c r="F159" s="13" t="s">
        <v>736</v>
      </c>
      <c r="G159" s="13" t="s">
        <v>207</v>
      </c>
      <c r="H159" s="13" t="s">
        <v>907</v>
      </c>
      <c r="I159" s="13" t="s">
        <v>737</v>
      </c>
    </row>
    <row r="160" spans="1:9" ht="14.25" customHeight="1">
      <c r="A160" s="258" t="str">
        <f>B160&amp;C160&amp;D160</f>
        <v>T24CORELD_LOANS_AND_DEPOSITSINTEREST_SPREAD</v>
      </c>
      <c r="B160" s="258" t="s">
        <v>512</v>
      </c>
      <c r="C160" s="16" t="s">
        <v>593</v>
      </c>
      <c r="D160" s="258" t="s">
        <v>609</v>
      </c>
      <c r="E160" s="13" t="s">
        <v>908</v>
      </c>
      <c r="F160" s="13" t="s">
        <v>721</v>
      </c>
      <c r="G160" s="13" t="s">
        <v>207</v>
      </c>
      <c r="H160" s="13" t="s">
        <v>909</v>
      </c>
      <c r="I160" s="13" t="s">
        <v>737</v>
      </c>
    </row>
    <row r="161" spans="1:11" ht="14.25" customHeight="1">
      <c r="A161" s="258" t="str">
        <f>B161&amp;C161&amp;D161</f>
        <v>T24CORELD_LOANS_AND_DEPOSITSLIMIT_REFERENCE</v>
      </c>
      <c r="B161" s="258" t="s">
        <v>512</v>
      </c>
      <c r="C161" s="16" t="s">
        <v>593</v>
      </c>
      <c r="D161" s="258" t="s">
        <v>610</v>
      </c>
      <c r="E161" s="13" t="s">
        <v>910</v>
      </c>
      <c r="F161" s="13" t="s">
        <v>736</v>
      </c>
      <c r="G161" s="13" t="s">
        <v>69</v>
      </c>
      <c r="H161" s="13" t="s">
        <v>911</v>
      </c>
      <c r="I161" s="13" t="s">
        <v>737</v>
      </c>
    </row>
    <row r="162" spans="1:11" ht="14.25" customHeight="1">
      <c r="A162" s="258" t="str">
        <f>B162&amp;C162&amp;D162</f>
        <v>T24CORELD_LOANS_AND_DEPOSITSLOC_TERM</v>
      </c>
      <c r="B162" s="16" t="s">
        <v>512</v>
      </c>
      <c r="C162" s="16" t="s">
        <v>593</v>
      </c>
      <c r="D162" s="258" t="s">
        <v>520</v>
      </c>
      <c r="E162" s="13" t="s">
        <v>912</v>
      </c>
      <c r="F162" s="13" t="s">
        <v>736</v>
      </c>
      <c r="G162" s="13" t="s">
        <v>69</v>
      </c>
      <c r="H162" s="13" t="s">
        <v>913</v>
      </c>
      <c r="I162" s="13" t="s">
        <v>737</v>
      </c>
    </row>
    <row r="163" spans="1:11" ht="14.25" customHeight="1">
      <c r="A163" s="258" t="str">
        <f>B163&amp;C163&amp;D163</f>
        <v>T24CORELD_LOANS_AND_DEPOSITSLOS_FAC_CODE</v>
      </c>
      <c r="B163" s="258" t="s">
        <v>512</v>
      </c>
      <c r="C163" s="16" t="s">
        <v>593</v>
      </c>
      <c r="D163" s="280" t="s">
        <v>611</v>
      </c>
      <c r="E163" s="23" t="s">
        <v>914</v>
      </c>
      <c r="F163" s="23" t="s">
        <v>736</v>
      </c>
      <c r="G163" s="23" t="s">
        <v>69</v>
      </c>
      <c r="H163" s="23" t="s">
        <v>915</v>
      </c>
      <c r="I163" s="13" t="s">
        <v>737</v>
      </c>
    </row>
    <row r="164" spans="1:11" ht="14.25" customHeight="1">
      <c r="A164" s="258" t="str">
        <f>B164&amp;C164&amp;D164</f>
        <v>T24CORELD_LOANS_AND_DEPOSITSMB_RM_BANCHEO</v>
      </c>
      <c r="B164" s="16" t="s">
        <v>512</v>
      </c>
      <c r="C164" s="16" t="s">
        <v>593</v>
      </c>
      <c r="D164" s="258" t="s">
        <v>557</v>
      </c>
      <c r="E164" s="13" t="s">
        <v>916</v>
      </c>
      <c r="F164" s="13" t="s">
        <v>736</v>
      </c>
      <c r="G164" s="13" t="s">
        <v>670</v>
      </c>
      <c r="H164" s="13" t="s">
        <v>917</v>
      </c>
      <c r="I164" s="13" t="s">
        <v>737</v>
      </c>
    </row>
    <row r="165" spans="1:11" ht="14.25" customHeight="1">
      <c r="A165" s="258" t="str">
        <f>B165&amp;C165&amp;D165</f>
        <v>T24CORELD_LOANS_AND_DEPOSITSORIG_VAL_DATE</v>
      </c>
      <c r="B165" s="16" t="s">
        <v>512</v>
      </c>
      <c r="C165" s="16" t="s">
        <v>593</v>
      </c>
      <c r="D165" s="258" t="s">
        <v>612</v>
      </c>
      <c r="E165" s="13" t="s">
        <v>918</v>
      </c>
      <c r="F165" s="13" t="s">
        <v>736</v>
      </c>
      <c r="G165" s="13" t="s">
        <v>69</v>
      </c>
      <c r="H165" s="13" t="s">
        <v>919</v>
      </c>
      <c r="I165" s="13" t="s">
        <v>737</v>
      </c>
    </row>
    <row r="166" spans="1:11" ht="14.25" customHeight="1">
      <c r="A166" s="258" t="str">
        <f>B166&amp;C166&amp;D166</f>
        <v>T24CORELD_LOANS_AND_DEPOSITSPE_RATE</v>
      </c>
      <c r="B166" s="258" t="s">
        <v>512</v>
      </c>
      <c r="C166" s="16" t="s">
        <v>593</v>
      </c>
      <c r="D166" s="258" t="s">
        <v>613</v>
      </c>
      <c r="E166" s="13" t="s">
        <v>920</v>
      </c>
      <c r="F166" s="13" t="s">
        <v>736</v>
      </c>
      <c r="G166" s="13" t="s">
        <v>207</v>
      </c>
      <c r="H166" s="13" t="s">
        <v>921</v>
      </c>
      <c r="I166" s="13" t="s">
        <v>737</v>
      </c>
    </row>
    <row r="167" spans="1:11" ht="14.25" customHeight="1">
      <c r="A167" s="258" t="str">
        <f>B167&amp;C167&amp;D167</f>
        <v>T24CORELD_LOANS_AND_DEPOSITSPRIN_LIQ_ACCT</v>
      </c>
      <c r="B167" s="258" t="s">
        <v>512</v>
      </c>
      <c r="C167" s="16" t="s">
        <v>593</v>
      </c>
      <c r="D167" s="258" t="s">
        <v>614</v>
      </c>
      <c r="E167" s="13" t="s">
        <v>922</v>
      </c>
      <c r="F167" s="13" t="s">
        <v>721</v>
      </c>
      <c r="G167" s="13" t="s">
        <v>74</v>
      </c>
      <c r="H167" s="13" t="s">
        <v>923</v>
      </c>
      <c r="I167" s="13" t="s">
        <v>737</v>
      </c>
    </row>
    <row r="168" spans="1:11" ht="14.25" customHeight="1">
      <c r="A168" s="258" t="str">
        <f>B168&amp;C168&amp;D168</f>
        <v>T24CORELD_LOANS_AND_DEPOSITSPRODUCTGR_CODE</v>
      </c>
      <c r="B168" s="258" t="s">
        <v>512</v>
      </c>
      <c r="C168" s="16" t="s">
        <v>593</v>
      </c>
      <c r="D168" s="258" t="s">
        <v>615</v>
      </c>
      <c r="E168" s="13" t="s">
        <v>924</v>
      </c>
      <c r="F168" s="13" t="s">
        <v>736</v>
      </c>
      <c r="G168" s="13" t="s">
        <v>69</v>
      </c>
      <c r="H168" s="13" t="s">
        <v>691</v>
      </c>
      <c r="I168" s="13" t="s">
        <v>737</v>
      </c>
      <c r="K168" s="22">
        <v>45972</v>
      </c>
    </row>
    <row r="169" spans="1:11" ht="14.25" customHeight="1">
      <c r="A169" s="258" t="str">
        <f>B169&amp;C169&amp;D169</f>
        <v>T24CORELD_LOANS_AND_DEPOSITSPS_RATE</v>
      </c>
      <c r="B169" s="258" t="s">
        <v>512</v>
      </c>
      <c r="C169" s="16" t="s">
        <v>593</v>
      </c>
      <c r="D169" s="258" t="s">
        <v>616</v>
      </c>
      <c r="E169" s="13" t="s">
        <v>925</v>
      </c>
      <c r="F169" s="13" t="s">
        <v>736</v>
      </c>
      <c r="G169" s="13" t="s">
        <v>207</v>
      </c>
      <c r="H169" s="13" t="s">
        <v>926</v>
      </c>
      <c r="I169" s="13" t="s">
        <v>737</v>
      </c>
    </row>
    <row r="170" spans="1:11" ht="14.25" customHeight="1">
      <c r="A170" s="258" t="str">
        <f>B170&amp;C170&amp;D170</f>
        <v>T24CORELD_LOANS_AND_DEPOSITSREAL_RATE</v>
      </c>
      <c r="B170" s="258" t="s">
        <v>512</v>
      </c>
      <c r="C170" s="16" t="s">
        <v>593</v>
      </c>
      <c r="D170" s="258" t="s">
        <v>617</v>
      </c>
      <c r="E170" s="13" t="s">
        <v>927</v>
      </c>
      <c r="F170" s="13" t="s">
        <v>721</v>
      </c>
      <c r="I170" s="13" t="s">
        <v>737</v>
      </c>
    </row>
    <row r="171" spans="1:11" ht="14.25" customHeight="1">
      <c r="A171" s="258" t="str">
        <f>B171&amp;C171&amp;D171</f>
        <v>T24CORELD_LOANS_AND_DEPOSITSRECID</v>
      </c>
      <c r="B171" s="258" t="s">
        <v>512</v>
      </c>
      <c r="C171" s="16" t="s">
        <v>593</v>
      </c>
      <c r="D171" s="258" t="s">
        <v>490</v>
      </c>
      <c r="E171" s="13" t="s">
        <v>249</v>
      </c>
      <c r="F171" s="13" t="s">
        <v>736</v>
      </c>
      <c r="G171" s="13" t="s">
        <v>69</v>
      </c>
      <c r="H171" s="13" t="s">
        <v>928</v>
      </c>
      <c r="I171" s="13" t="s">
        <v>737</v>
      </c>
    </row>
    <row r="172" spans="1:11" ht="14.25" customHeight="1">
      <c r="A172" s="258" t="str">
        <f>B172&amp;C172&amp;D172</f>
        <v>T24CORELD_LOANS_AND_DEPOSITSRECORD_STATUS</v>
      </c>
      <c r="B172" s="16" t="s">
        <v>512</v>
      </c>
      <c r="C172" s="16" t="s">
        <v>593</v>
      </c>
      <c r="D172" s="258" t="s">
        <v>491</v>
      </c>
      <c r="E172" s="13" t="s">
        <v>773</v>
      </c>
      <c r="F172" s="13" t="s">
        <v>736</v>
      </c>
      <c r="I172" s="13" t="s">
        <v>737</v>
      </c>
    </row>
    <row r="173" spans="1:11" ht="14.25" customHeight="1">
      <c r="A173" s="258" t="str">
        <f>B173&amp;C173&amp;D173</f>
        <v>T24CORELD_LOANS_AND_DEPOSITSSTATUS</v>
      </c>
      <c r="B173" s="258" t="s">
        <v>512</v>
      </c>
      <c r="C173" s="16" t="s">
        <v>593</v>
      </c>
      <c r="D173" s="258" t="s">
        <v>398</v>
      </c>
      <c r="E173" s="13" t="s">
        <v>929</v>
      </c>
      <c r="F173" s="13" t="s">
        <v>736</v>
      </c>
      <c r="G173" s="13" t="s">
        <v>74</v>
      </c>
      <c r="H173" s="13" t="s">
        <v>930</v>
      </c>
      <c r="I173" s="13" t="s">
        <v>737</v>
      </c>
    </row>
    <row r="174" spans="1:11" ht="14.25" customHeight="1">
      <c r="A174" s="258" t="str">
        <f>B174&amp;C174&amp;D174</f>
        <v>T24CORELD_LOANS_AND_DEPOSITSUSE_OF_LOAN</v>
      </c>
      <c r="B174" s="258" t="s">
        <v>512</v>
      </c>
      <c r="C174" s="16" t="s">
        <v>593</v>
      </c>
      <c r="D174" s="258" t="s">
        <v>618</v>
      </c>
      <c r="E174" s="13" t="s">
        <v>387</v>
      </c>
      <c r="F174" s="13" t="s">
        <v>736</v>
      </c>
      <c r="G174" s="13" t="s">
        <v>69</v>
      </c>
      <c r="H174" s="13" t="s">
        <v>683</v>
      </c>
      <c r="I174" s="13" t="s">
        <v>737</v>
      </c>
    </row>
    <row r="175" spans="1:11" ht="14.25" customHeight="1">
      <c r="A175" s="258" t="str">
        <f>B175&amp;C175&amp;D175</f>
        <v>T24CORELD_LOANS_AND_DEPOSITSUSE_OF_LOAN_CHA</v>
      </c>
      <c r="B175" s="258" t="s">
        <v>512</v>
      </c>
      <c r="C175" s="16" t="s">
        <v>593</v>
      </c>
      <c r="D175" s="258" t="s">
        <v>619</v>
      </c>
      <c r="E175" s="13" t="s">
        <v>931</v>
      </c>
      <c r="F175" s="13" t="s">
        <v>721</v>
      </c>
      <c r="G175" s="13" t="s">
        <v>69</v>
      </c>
      <c r="H175" s="13" t="s">
        <v>932</v>
      </c>
      <c r="I175" s="13" t="s">
        <v>737</v>
      </c>
    </row>
    <row r="176" spans="1:11" ht="14.25" customHeight="1">
      <c r="A176" s="258" t="str">
        <f>B176&amp;C176&amp;D176</f>
        <v>T24CORELD_LOANS_AND_DEPOSITSVALUE_DATE</v>
      </c>
      <c r="B176" s="16" t="s">
        <v>512</v>
      </c>
      <c r="C176" s="16" t="s">
        <v>593</v>
      </c>
      <c r="D176" s="258" t="s">
        <v>504</v>
      </c>
      <c r="E176" s="13" t="s">
        <v>765</v>
      </c>
      <c r="F176" s="13" t="s">
        <v>736</v>
      </c>
      <c r="G176" s="13" t="s">
        <v>69</v>
      </c>
      <c r="H176" s="13" t="s">
        <v>791</v>
      </c>
      <c r="I176" s="13" t="s">
        <v>737</v>
      </c>
    </row>
    <row r="177" spans="1:9" ht="14.25" customHeight="1">
      <c r="A177" s="258" t="str">
        <f>B177&amp;C177&amp;D177</f>
        <v>T24CORELD_LOANS_AND_DEPOSITS_HISACC_FCC</v>
      </c>
      <c r="B177" s="258" t="s">
        <v>512</v>
      </c>
      <c r="C177" s="16" t="s">
        <v>620</v>
      </c>
      <c r="D177" s="258" t="s">
        <v>507</v>
      </c>
      <c r="E177" s="13" t="s">
        <v>735</v>
      </c>
      <c r="F177" s="13" t="s">
        <v>736</v>
      </c>
      <c r="G177" s="13" t="s">
        <v>69</v>
      </c>
      <c r="H177" s="13" t="s">
        <v>877</v>
      </c>
      <c r="I177" s="13" t="s">
        <v>933</v>
      </c>
    </row>
    <row r="178" spans="1:9" ht="14.25" customHeight="1">
      <c r="A178" s="258" t="str">
        <f>B178&amp;C178&amp;D178</f>
        <v>T24CORELD_LOANS_AND_DEPOSITS_HISAMOUNT</v>
      </c>
      <c r="B178" s="17" t="s">
        <v>512</v>
      </c>
      <c r="C178" s="17" t="s">
        <v>620</v>
      </c>
      <c r="D178" s="258" t="s">
        <v>594</v>
      </c>
      <c r="E178" s="19" t="s">
        <v>878</v>
      </c>
      <c r="F178" s="13" t="s">
        <v>736</v>
      </c>
      <c r="I178" s="13" t="s">
        <v>933</v>
      </c>
    </row>
    <row r="179" spans="1:9" ht="14.25" customHeight="1">
      <c r="A179" s="258" t="str">
        <f>B179&amp;C179&amp;D179</f>
        <v>T24CORELD_LOANS_AND_DEPOSITS_HISAPPROVE_AMOUNT</v>
      </c>
      <c r="B179" s="258" t="s">
        <v>512</v>
      </c>
      <c r="C179" s="16" t="s">
        <v>620</v>
      </c>
      <c r="D179" s="258" t="s">
        <v>595</v>
      </c>
      <c r="E179" s="13" t="s">
        <v>934</v>
      </c>
      <c r="F179" s="13" t="s">
        <v>736</v>
      </c>
      <c r="G179" s="13" t="s">
        <v>69</v>
      </c>
      <c r="H179" s="13" t="s">
        <v>880</v>
      </c>
      <c r="I179" s="13" t="s">
        <v>933</v>
      </c>
    </row>
    <row r="180" spans="1:9" ht="14.25" customHeight="1">
      <c r="A180" s="258" t="str">
        <f>B180&amp;C180&amp;D180</f>
        <v>T24CORELD_LOANS_AND_DEPOSITS_HISCATEGORY</v>
      </c>
      <c r="B180" s="258" t="s">
        <v>512</v>
      </c>
      <c r="C180" s="16" t="s">
        <v>620</v>
      </c>
      <c r="D180" s="258" t="s">
        <v>597</v>
      </c>
      <c r="E180" s="13" t="s">
        <v>747</v>
      </c>
      <c r="F180" s="13" t="s">
        <v>736</v>
      </c>
      <c r="G180" s="13" t="s">
        <v>69</v>
      </c>
      <c r="H180" s="13" t="s">
        <v>748</v>
      </c>
      <c r="I180" s="13" t="s">
        <v>933</v>
      </c>
    </row>
    <row r="181" spans="1:9" ht="14.25" customHeight="1">
      <c r="A181" s="258" t="str">
        <f>B181&amp;C181&amp;D181</f>
        <v>T24CORELD_LOANS_AND_DEPOSITS_HISCO_CODE</v>
      </c>
      <c r="B181" s="258" t="s">
        <v>512</v>
      </c>
      <c r="C181" s="16" t="s">
        <v>620</v>
      </c>
      <c r="D181" s="258" t="s">
        <v>460</v>
      </c>
      <c r="E181" s="13" t="s">
        <v>259</v>
      </c>
      <c r="F181" s="13" t="s">
        <v>736</v>
      </c>
      <c r="G181" s="13" t="s">
        <v>883</v>
      </c>
      <c r="H181" s="13" t="s">
        <v>884</v>
      </c>
      <c r="I181" s="13" t="s">
        <v>933</v>
      </c>
    </row>
    <row r="182" spans="1:9" ht="14.25" customHeight="1">
      <c r="A182" s="258" t="str">
        <f>B182&amp;C182&amp;D182</f>
        <v>T24CORELD_LOANS_AND_DEPOSITS_HISCOMMIT_ACTION</v>
      </c>
      <c r="B182" s="16" t="s">
        <v>512</v>
      </c>
      <c r="C182" s="16" t="s">
        <v>620</v>
      </c>
      <c r="D182" s="258" t="s">
        <v>461</v>
      </c>
      <c r="E182" s="13" t="s">
        <v>885</v>
      </c>
      <c r="F182" s="13" t="s">
        <v>736</v>
      </c>
      <c r="I182" s="13" t="s">
        <v>933</v>
      </c>
    </row>
    <row r="183" spans="1:9" ht="14.25" customHeight="1">
      <c r="A183" s="258" t="str">
        <f>B183&amp;C183&amp;D183</f>
        <v>T24CORELD_LOANS_AND_DEPOSITS_HISCRA_LD</v>
      </c>
      <c r="B183" s="16" t="s">
        <v>512</v>
      </c>
      <c r="C183" s="16" t="s">
        <v>620</v>
      </c>
      <c r="D183" s="258" t="s">
        <v>598</v>
      </c>
      <c r="E183" s="13" t="s">
        <v>935</v>
      </c>
      <c r="F183" s="13" t="s">
        <v>736</v>
      </c>
      <c r="G183" s="13" t="s">
        <v>69</v>
      </c>
      <c r="H183" s="13" t="s">
        <v>887</v>
      </c>
      <c r="I183" s="13" t="s">
        <v>933</v>
      </c>
    </row>
    <row r="184" spans="1:9" ht="14.25" customHeight="1">
      <c r="A184" s="258" t="str">
        <f>B184&amp;C184&amp;D184</f>
        <v>T24CORELD_LOANS_AND_DEPOSITS_HISCURR_NO</v>
      </c>
      <c r="B184" s="16" t="s">
        <v>512</v>
      </c>
      <c r="C184" s="16" t="s">
        <v>620</v>
      </c>
      <c r="D184" s="258" t="s">
        <v>468</v>
      </c>
      <c r="E184" s="13" t="s">
        <v>668</v>
      </c>
      <c r="F184" s="13" t="s">
        <v>736</v>
      </c>
      <c r="I184" s="13" t="s">
        <v>933</v>
      </c>
    </row>
    <row r="185" spans="1:9" ht="14.25" customHeight="1">
      <c r="A185" s="258" t="str">
        <f>B185&amp;C185&amp;D185</f>
        <v>T24CORELD_LOANS_AND_DEPOSITS_HISCURRENCY</v>
      </c>
      <c r="B185" s="16" t="s">
        <v>512</v>
      </c>
      <c r="C185" s="16" t="s">
        <v>620</v>
      </c>
      <c r="D185" s="258" t="s">
        <v>469</v>
      </c>
      <c r="E185" s="13" t="s">
        <v>936</v>
      </c>
      <c r="F185" s="13" t="s">
        <v>736</v>
      </c>
      <c r="G185" s="13" t="s">
        <v>69</v>
      </c>
      <c r="H185" s="13" t="s">
        <v>752</v>
      </c>
      <c r="I185" s="13" t="s">
        <v>933</v>
      </c>
    </row>
    <row r="186" spans="1:9" ht="14.25" customHeight="1">
      <c r="A186" s="258" t="str">
        <f>B186&amp;C186&amp;D186</f>
        <v>T24CORELD_LOANS_AND_DEPOSITS_HISCUSTOMER_ID</v>
      </c>
      <c r="B186" s="258" t="s">
        <v>512</v>
      </c>
      <c r="C186" s="16" t="s">
        <v>620</v>
      </c>
      <c r="D186" s="258" t="s">
        <v>470</v>
      </c>
      <c r="E186" s="13" t="s">
        <v>937</v>
      </c>
      <c r="F186" s="13" t="s">
        <v>736</v>
      </c>
      <c r="G186" s="13" t="s">
        <v>69</v>
      </c>
      <c r="H186" s="13" t="s">
        <v>889</v>
      </c>
      <c r="I186" s="13" t="s">
        <v>933</v>
      </c>
    </row>
    <row r="187" spans="1:9" ht="14.25" customHeight="1">
      <c r="A187" s="258" t="str">
        <f>B187&amp;C187&amp;D187</f>
        <v>T24CORELD_LOANS_AND_DEPOSITS_HISDATE_TIME</v>
      </c>
      <c r="B187" s="258" t="s">
        <v>512</v>
      </c>
      <c r="C187" s="16" t="s">
        <v>620</v>
      </c>
      <c r="D187" s="258" t="s">
        <v>472</v>
      </c>
      <c r="E187" s="13" t="s">
        <v>890</v>
      </c>
      <c r="F187" s="13" t="s">
        <v>736</v>
      </c>
      <c r="I187" s="13" t="s">
        <v>933</v>
      </c>
    </row>
    <row r="188" spans="1:9" ht="14.25" customHeight="1">
      <c r="A188" s="258" t="str">
        <f>B188&amp;C188&amp;D188</f>
        <v>T24CORELD_LOANS_AND_DEPOSITS_HISDRAWDOWN_NET_AMT</v>
      </c>
      <c r="B188" s="258" t="s">
        <v>512</v>
      </c>
      <c r="C188" s="16" t="s">
        <v>620</v>
      </c>
      <c r="D188" s="258" t="s">
        <v>600</v>
      </c>
      <c r="E188" s="13" t="s">
        <v>891</v>
      </c>
      <c r="F188" s="13" t="s">
        <v>736</v>
      </c>
      <c r="G188" s="13" t="s">
        <v>69</v>
      </c>
      <c r="H188" s="13" t="s">
        <v>892</v>
      </c>
      <c r="I188" s="13" t="s">
        <v>933</v>
      </c>
    </row>
    <row r="189" spans="1:9" ht="14.25" customHeight="1">
      <c r="A189" s="258" t="str">
        <f>B189&amp;C189&amp;D189</f>
        <v>T24CORELD_LOANS_AND_DEPOSITS_HISEXCG_RATE</v>
      </c>
      <c r="B189" s="16" t="s">
        <v>512</v>
      </c>
      <c r="C189" s="16" t="s">
        <v>620</v>
      </c>
      <c r="D189" s="258" t="s">
        <v>601</v>
      </c>
      <c r="E189" s="13" t="s">
        <v>893</v>
      </c>
      <c r="F189" s="13" t="s">
        <v>736</v>
      </c>
      <c r="G189" s="13" t="s">
        <v>69</v>
      </c>
      <c r="H189" s="13" t="s">
        <v>894</v>
      </c>
      <c r="I189" s="13" t="s">
        <v>933</v>
      </c>
    </row>
    <row r="190" spans="1:9" ht="14.25" customHeight="1">
      <c r="A190" s="258" t="str">
        <f>B190&amp;C190&amp;D190</f>
        <v>T24CORELD_LOANS_AND_DEPOSITS_HISFIN_MAT_DATE</v>
      </c>
      <c r="B190" s="258" t="s">
        <v>512</v>
      </c>
      <c r="C190" s="16" t="s">
        <v>620</v>
      </c>
      <c r="D190" s="258" t="s">
        <v>603</v>
      </c>
      <c r="E190" s="13" t="s">
        <v>938</v>
      </c>
      <c r="F190" s="13" t="s">
        <v>736</v>
      </c>
      <c r="G190" s="13" t="s">
        <v>69</v>
      </c>
      <c r="H190" s="13" t="s">
        <v>897</v>
      </c>
      <c r="I190" s="13" t="s">
        <v>933</v>
      </c>
    </row>
    <row r="191" spans="1:9" ht="14.25" customHeight="1">
      <c r="A191" s="258" t="str">
        <f>B191&amp;C191&amp;D191</f>
        <v>T24CORELD_LOANS_AND_DEPOSITS_HISINT_LIQ_ACCT</v>
      </c>
      <c r="B191" s="258" t="s">
        <v>512</v>
      </c>
      <c r="C191" s="16" t="s">
        <v>620</v>
      </c>
      <c r="D191" s="258" t="s">
        <v>605</v>
      </c>
      <c r="E191" s="13" t="s">
        <v>900</v>
      </c>
      <c r="F191" s="13" t="s">
        <v>736</v>
      </c>
      <c r="G191" s="13" t="s">
        <v>74</v>
      </c>
      <c r="H191" s="13" t="s">
        <v>901</v>
      </c>
      <c r="I191" s="13" t="s">
        <v>933</v>
      </c>
    </row>
    <row r="192" spans="1:9" ht="14.25" customHeight="1">
      <c r="A192" s="258" t="str">
        <f>B192&amp;C192&amp;D192</f>
        <v>T24CORELD_LOANS_AND_DEPOSITS_HISINT_RATE_TYPE</v>
      </c>
      <c r="B192" s="258" t="s">
        <v>512</v>
      </c>
      <c r="C192" s="16" t="s">
        <v>620</v>
      </c>
      <c r="D192" s="258" t="s">
        <v>606</v>
      </c>
      <c r="E192" s="13" t="s">
        <v>939</v>
      </c>
      <c r="F192" s="13" t="s">
        <v>736</v>
      </c>
      <c r="G192" s="13" t="s">
        <v>207</v>
      </c>
      <c r="H192" s="13" t="s">
        <v>903</v>
      </c>
      <c r="I192" s="13" t="s">
        <v>933</v>
      </c>
    </row>
    <row r="193" spans="1:9" ht="14.25" customHeight="1">
      <c r="A193" s="258" t="str">
        <f>B193&amp;C193&amp;D193</f>
        <v>T24CORELD_LOANS_AND_DEPOSITS_HISINT_VALUE_DATE</v>
      </c>
      <c r="B193" s="16" t="s">
        <v>512</v>
      </c>
      <c r="C193" s="16" t="s">
        <v>620</v>
      </c>
      <c r="D193" s="258" t="s">
        <v>607</v>
      </c>
      <c r="E193" s="13" t="s">
        <v>940</v>
      </c>
      <c r="F193" s="13" t="s">
        <v>736</v>
      </c>
      <c r="G193" s="13" t="s">
        <v>207</v>
      </c>
      <c r="H193" s="13" t="s">
        <v>905</v>
      </c>
      <c r="I193" s="13" t="s">
        <v>933</v>
      </c>
    </row>
    <row r="194" spans="1:9" ht="14.25" customHeight="1">
      <c r="A194" s="258" t="str">
        <f>B194&amp;C194&amp;D194</f>
        <v>T24CORELD_LOANS_AND_DEPOSITS_HISINTEREST_RATE</v>
      </c>
      <c r="B194" s="258" t="s">
        <v>512</v>
      </c>
      <c r="C194" s="16" t="s">
        <v>620</v>
      </c>
      <c r="D194" s="258" t="s">
        <v>608</v>
      </c>
      <c r="E194" s="13" t="s">
        <v>906</v>
      </c>
      <c r="F194" s="13" t="s">
        <v>736</v>
      </c>
      <c r="G194" s="13" t="s">
        <v>207</v>
      </c>
      <c r="H194" s="13" t="s">
        <v>907</v>
      </c>
      <c r="I194" s="13" t="s">
        <v>933</v>
      </c>
    </row>
    <row r="195" spans="1:9" ht="14.25" customHeight="1">
      <c r="A195" s="258" t="str">
        <f>B195&amp;C195&amp;D195</f>
        <v>T24CORELD_LOANS_AND_DEPOSITS_HISINTEREST_SPREAD</v>
      </c>
      <c r="B195" s="258" t="s">
        <v>512</v>
      </c>
      <c r="C195" s="16" t="s">
        <v>620</v>
      </c>
      <c r="D195" s="258" t="s">
        <v>609</v>
      </c>
      <c r="E195" s="13" t="s">
        <v>908</v>
      </c>
      <c r="F195" s="13" t="s">
        <v>736</v>
      </c>
      <c r="G195" s="13" t="s">
        <v>207</v>
      </c>
      <c r="H195" s="13" t="s">
        <v>909</v>
      </c>
      <c r="I195" s="13" t="s">
        <v>933</v>
      </c>
    </row>
    <row r="196" spans="1:9" ht="14.25" customHeight="1">
      <c r="A196" s="258" t="str">
        <f>B196&amp;C196&amp;D196</f>
        <v>T24CORELD_LOANS_AND_DEPOSITS_HISLOC_TERM</v>
      </c>
      <c r="B196" s="16" t="s">
        <v>512</v>
      </c>
      <c r="C196" s="16" t="s">
        <v>620</v>
      </c>
      <c r="D196" s="258" t="s">
        <v>520</v>
      </c>
      <c r="E196" s="13" t="s">
        <v>295</v>
      </c>
      <c r="F196" s="13" t="s">
        <v>736</v>
      </c>
      <c r="G196" s="13" t="s">
        <v>69</v>
      </c>
      <c r="H196" s="13" t="s">
        <v>913</v>
      </c>
      <c r="I196" s="13" t="s">
        <v>933</v>
      </c>
    </row>
    <row r="197" spans="1:9" ht="14.25" customHeight="1">
      <c r="A197" s="258" t="str">
        <f>B197&amp;C197&amp;D197</f>
        <v>T24CORELD_LOANS_AND_DEPOSITS_HISMB_RM_BANCHEO</v>
      </c>
      <c r="B197" s="16" t="s">
        <v>512</v>
      </c>
      <c r="C197" s="16" t="s">
        <v>620</v>
      </c>
      <c r="D197" s="258" t="s">
        <v>557</v>
      </c>
      <c r="E197" s="13" t="s">
        <v>916</v>
      </c>
      <c r="F197" s="13" t="s">
        <v>736</v>
      </c>
      <c r="G197" s="13" t="s">
        <v>670</v>
      </c>
      <c r="H197" s="13" t="s">
        <v>917</v>
      </c>
      <c r="I197" s="13" t="s">
        <v>933</v>
      </c>
    </row>
    <row r="198" spans="1:9" ht="14.25" customHeight="1">
      <c r="A198" s="258" t="str">
        <f>B198&amp;C198&amp;D198</f>
        <v>T24CORELD_LOANS_AND_DEPOSITS_HISORIG_VAL_DATE</v>
      </c>
      <c r="B198" s="16" t="s">
        <v>512</v>
      </c>
      <c r="C198" s="16" t="s">
        <v>620</v>
      </c>
      <c r="D198" s="258" t="s">
        <v>612</v>
      </c>
      <c r="E198" s="13" t="s">
        <v>918</v>
      </c>
      <c r="F198" s="13" t="s">
        <v>736</v>
      </c>
      <c r="G198" s="13" t="s">
        <v>69</v>
      </c>
      <c r="H198" s="13" t="s">
        <v>919</v>
      </c>
      <c r="I198" s="13" t="s">
        <v>933</v>
      </c>
    </row>
    <row r="199" spans="1:9" ht="14.25" customHeight="1">
      <c r="A199" s="258" t="str">
        <f>B199&amp;C199&amp;D199</f>
        <v>T24CORELD_LOANS_AND_DEPOSITS_HISPRIN_LIQ_ACCT</v>
      </c>
      <c r="B199" s="258" t="s">
        <v>512</v>
      </c>
      <c r="C199" s="16" t="s">
        <v>620</v>
      </c>
      <c r="D199" s="258" t="s">
        <v>614</v>
      </c>
      <c r="E199" s="13" t="s">
        <v>941</v>
      </c>
      <c r="F199" s="13" t="s">
        <v>736</v>
      </c>
      <c r="G199" s="13" t="s">
        <v>74</v>
      </c>
      <c r="H199" s="13" t="s">
        <v>923</v>
      </c>
      <c r="I199" s="13" t="s">
        <v>933</v>
      </c>
    </row>
    <row r="200" spans="1:9" ht="14.25" customHeight="1">
      <c r="A200" s="258" t="str">
        <f>B200&amp;C200&amp;D200</f>
        <v>T24CORELD_LOANS_AND_DEPOSITS_HISREAL_RATE</v>
      </c>
      <c r="B200" s="258" t="s">
        <v>512</v>
      </c>
      <c r="C200" s="16" t="s">
        <v>620</v>
      </c>
      <c r="D200" s="258" t="s">
        <v>617</v>
      </c>
      <c r="E200" s="13" t="s">
        <v>942</v>
      </c>
      <c r="F200" s="13" t="s">
        <v>736</v>
      </c>
      <c r="I200" s="13" t="s">
        <v>933</v>
      </c>
    </row>
    <row r="201" spans="1:9" ht="14.25" customHeight="1">
      <c r="A201" s="258" t="str">
        <f>B201&amp;C201&amp;D201</f>
        <v>T24CORELD_LOANS_AND_DEPOSITS_HISRECID</v>
      </c>
      <c r="B201" s="258" t="s">
        <v>512</v>
      </c>
      <c r="C201" s="16" t="s">
        <v>620</v>
      </c>
      <c r="D201" s="258" t="s">
        <v>490</v>
      </c>
      <c r="E201" s="13" t="s">
        <v>667</v>
      </c>
      <c r="F201" s="13" t="s">
        <v>736</v>
      </c>
      <c r="G201" s="13" t="s">
        <v>69</v>
      </c>
      <c r="H201" s="13" t="s">
        <v>943</v>
      </c>
      <c r="I201" s="13" t="s">
        <v>933</v>
      </c>
    </row>
    <row r="202" spans="1:9" ht="14.25" customHeight="1">
      <c r="A202" s="258" t="str">
        <f>B202&amp;C202&amp;D202</f>
        <v>T24CORELD_LOANS_AND_DEPOSITS_HISRECORD_STATUS</v>
      </c>
      <c r="B202" s="258" t="s">
        <v>512</v>
      </c>
      <c r="C202" s="16" t="s">
        <v>620</v>
      </c>
      <c r="D202" s="258" t="s">
        <v>491</v>
      </c>
      <c r="E202" s="13" t="s">
        <v>773</v>
      </c>
      <c r="F202" s="13" t="s">
        <v>736</v>
      </c>
      <c r="I202" s="13" t="s">
        <v>933</v>
      </c>
    </row>
    <row r="203" spans="1:9" ht="14.25" customHeight="1">
      <c r="A203" s="258" t="str">
        <f>B203&amp;C203&amp;D203</f>
        <v>T24CORELD_LOANS_AND_DEPOSITS_HISUSE_OF_LOAN</v>
      </c>
      <c r="B203" s="16" t="s">
        <v>512</v>
      </c>
      <c r="C203" s="16" t="s">
        <v>620</v>
      </c>
      <c r="D203" s="258" t="s">
        <v>618</v>
      </c>
      <c r="E203" s="13" t="s">
        <v>944</v>
      </c>
      <c r="F203" s="13" t="s">
        <v>736</v>
      </c>
      <c r="G203" s="13" t="s">
        <v>69</v>
      </c>
      <c r="H203" s="13" t="s">
        <v>683</v>
      </c>
      <c r="I203" s="13" t="s">
        <v>933</v>
      </c>
    </row>
    <row r="204" spans="1:9" ht="14.25" customHeight="1">
      <c r="A204" s="258" t="str">
        <f>B204&amp;C204&amp;D204</f>
        <v>T24CORELD_LOANS_AND_DEPOSITS_HISUSE_OF_LOAN_CHA</v>
      </c>
      <c r="B204" s="16" t="s">
        <v>512</v>
      </c>
      <c r="C204" s="16" t="s">
        <v>620</v>
      </c>
      <c r="D204" s="258" t="s">
        <v>619</v>
      </c>
      <c r="E204" s="13" t="s">
        <v>931</v>
      </c>
      <c r="F204" s="13" t="s">
        <v>736</v>
      </c>
      <c r="G204" s="13" t="s">
        <v>69</v>
      </c>
      <c r="H204" s="13" t="s">
        <v>932</v>
      </c>
      <c r="I204" s="13" t="s">
        <v>933</v>
      </c>
    </row>
    <row r="205" spans="1:9" ht="14.25" customHeight="1">
      <c r="A205" s="258" t="str">
        <f>B205&amp;C205&amp;D205</f>
        <v>T24CORELD_LOANS_AND_DEPOSITS_HISVALUE_DATE</v>
      </c>
      <c r="B205" s="258" t="s">
        <v>512</v>
      </c>
      <c r="C205" s="16" t="s">
        <v>620</v>
      </c>
      <c r="D205" s="258" t="s">
        <v>504</v>
      </c>
      <c r="E205" s="13" t="s">
        <v>765</v>
      </c>
      <c r="F205" s="13" t="s">
        <v>736</v>
      </c>
      <c r="G205" s="13" t="s">
        <v>69</v>
      </c>
      <c r="H205" s="13" t="s">
        <v>791</v>
      </c>
      <c r="I205" s="13" t="s">
        <v>933</v>
      </c>
    </row>
    <row r="206" spans="1:9" ht="14.25" customHeight="1">
      <c r="A206" s="258" t="str">
        <f>B206&amp;C206&amp;D206</f>
        <v>T24CORELD_SCHEDULE_DEFINE_MVCONTRACT_ID</v>
      </c>
      <c r="B206" s="258" t="s">
        <v>512</v>
      </c>
      <c r="C206" s="16" t="s">
        <v>621</v>
      </c>
      <c r="D206" s="258" t="s">
        <v>622</v>
      </c>
      <c r="E206" s="13" t="s">
        <v>667</v>
      </c>
      <c r="F206" s="13" t="s">
        <v>736</v>
      </c>
      <c r="I206" s="13" t="s">
        <v>933</v>
      </c>
    </row>
    <row r="207" spans="1:9" ht="14.25" customHeight="1">
      <c r="A207" s="258" t="str">
        <f>B207&amp;C207&amp;D207</f>
        <v>T24CORELD_SCHEDULE_DEFINE_MVPREV_SCHED_DATE</v>
      </c>
      <c r="B207" s="258" t="s">
        <v>512</v>
      </c>
      <c r="C207" s="16" t="s">
        <v>621</v>
      </c>
      <c r="D207" s="258" t="s">
        <v>623</v>
      </c>
      <c r="E207" s="13" t="s">
        <v>945</v>
      </c>
      <c r="F207" s="13" t="s">
        <v>736</v>
      </c>
      <c r="I207" s="13" t="s">
        <v>933</v>
      </c>
    </row>
    <row r="208" spans="1:9" ht="14.25" customHeight="1">
      <c r="A208" s="258" t="str">
        <f>B208&amp;C208&amp;D208</f>
        <v>T24COREPD_PAYMENT_DUEAUTHORISER</v>
      </c>
      <c r="B208" s="258" t="s">
        <v>512</v>
      </c>
      <c r="C208" s="16" t="s">
        <v>626</v>
      </c>
      <c r="D208" s="258" t="s">
        <v>596</v>
      </c>
      <c r="E208" s="13" t="s">
        <v>946</v>
      </c>
      <c r="F208" s="13" t="s">
        <v>736</v>
      </c>
      <c r="G208" s="13" t="s">
        <v>670</v>
      </c>
      <c r="H208" s="13" t="s">
        <v>854</v>
      </c>
      <c r="I208" s="13" t="s">
        <v>933</v>
      </c>
    </row>
    <row r="209" spans="1:11" ht="14.25" customHeight="1">
      <c r="A209" s="258" t="str">
        <f>B209&amp;C209&amp;D209</f>
        <v>T24COREPD_PAYMENT_DUECREDIT_STATUS</v>
      </c>
      <c r="B209" s="258" t="s">
        <v>512</v>
      </c>
      <c r="C209" s="16" t="s">
        <v>626</v>
      </c>
      <c r="D209" s="258" t="s">
        <v>627</v>
      </c>
      <c r="E209" s="13" t="s">
        <v>947</v>
      </c>
      <c r="F209" s="13" t="s">
        <v>736</v>
      </c>
      <c r="G209" s="13" t="s">
        <v>74</v>
      </c>
      <c r="H209" s="13" t="s">
        <v>948</v>
      </c>
      <c r="I209" s="13" t="s">
        <v>933</v>
      </c>
      <c r="J209" s="13" t="s">
        <v>949</v>
      </c>
      <c r="K209" s="22">
        <v>45975</v>
      </c>
    </row>
    <row r="210" spans="1:11" ht="14.25" customHeight="1">
      <c r="A210" s="258" t="str">
        <f>B210&amp;C210&amp;D210</f>
        <v>T24COREPD_PAYMENT_DUECURR_NO</v>
      </c>
      <c r="B210" s="258" t="s">
        <v>512</v>
      </c>
      <c r="C210" s="16" t="s">
        <v>626</v>
      </c>
      <c r="D210" s="258" t="s">
        <v>468</v>
      </c>
      <c r="E210" s="13" t="s">
        <v>950</v>
      </c>
      <c r="F210" s="13" t="s">
        <v>736</v>
      </c>
      <c r="I210" s="13" t="s">
        <v>933</v>
      </c>
    </row>
    <row r="211" spans="1:11" ht="14.25" customHeight="1">
      <c r="A211" s="258" t="str">
        <f>B211&amp;C211&amp;D211</f>
        <v>T24COREPD_PAYMENT_DUECUSTOMER</v>
      </c>
      <c r="B211" s="258" t="s">
        <v>512</v>
      </c>
      <c r="C211" s="16" t="s">
        <v>626</v>
      </c>
      <c r="D211" s="258" t="s">
        <v>513</v>
      </c>
      <c r="E211" s="13" t="s">
        <v>951</v>
      </c>
      <c r="F211" s="13" t="s">
        <v>736</v>
      </c>
      <c r="G211" s="13" t="s">
        <v>69</v>
      </c>
      <c r="H211" s="13" t="s">
        <v>889</v>
      </c>
      <c r="I211" s="13" t="s">
        <v>933</v>
      </c>
    </row>
    <row r="212" spans="1:11" ht="14.25" customHeight="1">
      <c r="A212" s="258" t="str">
        <f>B212&amp;C212&amp;D212</f>
        <v>T24COREPD_PAYMENT_DUEFLAG_STATUS</v>
      </c>
      <c r="B212" s="258" t="s">
        <v>512</v>
      </c>
      <c r="C212" s="16" t="s">
        <v>626</v>
      </c>
      <c r="D212" s="258" t="s">
        <v>628</v>
      </c>
      <c r="E212" s="13" t="s">
        <v>952</v>
      </c>
      <c r="F212" s="13" t="s">
        <v>736</v>
      </c>
      <c r="I212" s="13" t="s">
        <v>933</v>
      </c>
    </row>
    <row r="213" spans="1:11" ht="14.25" customHeight="1">
      <c r="A213" s="258" t="str">
        <f>B213&amp;C213&amp;D213</f>
        <v>T24COREPD_PAYMENT_DUEINPUTTER</v>
      </c>
      <c r="B213" s="258" t="s">
        <v>512</v>
      </c>
      <c r="C213" s="16" t="s">
        <v>626</v>
      </c>
      <c r="D213" s="258" t="s">
        <v>604</v>
      </c>
      <c r="E213" s="13" t="s">
        <v>899</v>
      </c>
      <c r="F213" s="13" t="s">
        <v>736</v>
      </c>
      <c r="G213" s="13" t="s">
        <v>670</v>
      </c>
      <c r="H213" s="13" t="s">
        <v>772</v>
      </c>
      <c r="I213" s="13" t="s">
        <v>933</v>
      </c>
    </row>
    <row r="214" spans="1:11" ht="14.25" customHeight="1">
      <c r="A214" s="258" t="str">
        <f>B214&amp;C214&amp;D214</f>
        <v>T24COREPD_PAYMENT_DUELOS_FAC_CODE</v>
      </c>
      <c r="B214" s="258" t="s">
        <v>512</v>
      </c>
      <c r="C214" s="16" t="s">
        <v>626</v>
      </c>
      <c r="D214" s="258" t="s">
        <v>611</v>
      </c>
      <c r="E214" s="13" t="s">
        <v>914</v>
      </c>
      <c r="F214" s="13" t="s">
        <v>736</v>
      </c>
      <c r="G214" s="13" t="s">
        <v>69</v>
      </c>
      <c r="H214" s="13" t="s">
        <v>887</v>
      </c>
      <c r="I214" s="13" t="s">
        <v>933</v>
      </c>
    </row>
    <row r="215" spans="1:11" ht="14.25" customHeight="1">
      <c r="A215" s="258" t="str">
        <f>B215&amp;C215&amp;D215</f>
        <v>T24COREPD_PAYMENT_DUEORIGINAL_MAT</v>
      </c>
      <c r="B215" s="258" t="s">
        <v>512</v>
      </c>
      <c r="C215" s="16" t="s">
        <v>626</v>
      </c>
      <c r="D215" s="258" t="s">
        <v>629</v>
      </c>
      <c r="E215" s="13" t="s">
        <v>953</v>
      </c>
      <c r="F215" s="13" t="s">
        <v>736</v>
      </c>
      <c r="G215" s="13" t="s">
        <v>69</v>
      </c>
      <c r="H215" s="13" t="s">
        <v>897</v>
      </c>
      <c r="I215" s="13" t="s">
        <v>933</v>
      </c>
    </row>
    <row r="216" spans="1:11" ht="14.25" customHeight="1">
      <c r="A216" s="258" t="str">
        <f>B216&amp;C216&amp;D216</f>
        <v>T24COREPD_PAYMENT_DUEPD_TYPE</v>
      </c>
      <c r="B216" s="258" t="s">
        <v>512</v>
      </c>
      <c r="C216" s="16" t="s">
        <v>626</v>
      </c>
      <c r="D216" s="258" t="s">
        <v>630</v>
      </c>
      <c r="E216" s="13" t="s">
        <v>954</v>
      </c>
      <c r="F216" s="13" t="s">
        <v>736</v>
      </c>
      <c r="I216" s="13" t="s">
        <v>933</v>
      </c>
    </row>
    <row r="217" spans="1:11" ht="14.25" customHeight="1">
      <c r="A217" s="258" t="str">
        <f>B217&amp;C217&amp;D217</f>
        <v>T24COREPD_PAYMENT_DUEPE_RATE</v>
      </c>
      <c r="B217" s="258" t="s">
        <v>512</v>
      </c>
      <c r="C217" s="16" t="s">
        <v>626</v>
      </c>
      <c r="D217" s="258" t="s">
        <v>613</v>
      </c>
      <c r="E217" s="13" t="s">
        <v>920</v>
      </c>
      <c r="F217" s="13" t="s">
        <v>736</v>
      </c>
      <c r="G217" s="13" t="s">
        <v>207</v>
      </c>
      <c r="H217" s="13" t="s">
        <v>921</v>
      </c>
      <c r="I217" s="13" t="s">
        <v>933</v>
      </c>
    </row>
    <row r="218" spans="1:11" ht="14.25" customHeight="1">
      <c r="A218" s="258" t="str">
        <f>B218&amp;C218&amp;D218</f>
        <v>T24COREPD_PAYMENT_DUEPENALTY_RATE</v>
      </c>
      <c r="B218" s="258" t="s">
        <v>512</v>
      </c>
      <c r="C218" s="16" t="s">
        <v>626</v>
      </c>
      <c r="D218" s="258" t="s">
        <v>631</v>
      </c>
      <c r="E218" s="13" t="s">
        <v>955</v>
      </c>
      <c r="F218" s="13" t="s">
        <v>721</v>
      </c>
      <c r="I218" s="13" t="s">
        <v>933</v>
      </c>
    </row>
    <row r="219" spans="1:11" ht="14.25" customHeight="1">
      <c r="A219" s="258" t="str">
        <f>B219&amp;C219&amp;D219</f>
        <v>T24COREPD_PAYMENT_DUERECID</v>
      </c>
      <c r="B219" s="258" t="s">
        <v>512</v>
      </c>
      <c r="C219" s="16" t="s">
        <v>626</v>
      </c>
      <c r="D219" s="258" t="s">
        <v>490</v>
      </c>
      <c r="E219" s="13" t="s">
        <v>249</v>
      </c>
      <c r="F219" s="13" t="s">
        <v>736</v>
      </c>
      <c r="G219" s="13" t="s">
        <v>69</v>
      </c>
      <c r="H219" s="13" t="s">
        <v>943</v>
      </c>
      <c r="I219" s="13" t="s">
        <v>933</v>
      </c>
    </row>
    <row r="220" spans="1:11" ht="14.25" customHeight="1">
      <c r="A220" s="258" t="str">
        <f>B220&amp;C220&amp;D220</f>
        <v>T24COREPD_PAYMENT_DUESNQH_CHUYENDOI</v>
      </c>
      <c r="B220" s="258" t="s">
        <v>512</v>
      </c>
      <c r="C220" s="16" t="s">
        <v>626</v>
      </c>
      <c r="D220" s="258" t="s">
        <v>632</v>
      </c>
      <c r="E220" s="13" t="s">
        <v>956</v>
      </c>
      <c r="F220" s="13" t="s">
        <v>736</v>
      </c>
      <c r="G220" s="13" t="s">
        <v>212</v>
      </c>
      <c r="I220" s="13" t="s">
        <v>933</v>
      </c>
    </row>
    <row r="221" spans="1:11" ht="14.25" customHeight="1">
      <c r="A221" s="258" t="str">
        <f>B221&amp;C221&amp;D221</f>
        <v>T24COREPD_PAYMENT_DUEUSE_OF_LOAN</v>
      </c>
      <c r="B221" s="258" t="s">
        <v>512</v>
      </c>
      <c r="C221" s="16" t="s">
        <v>626</v>
      </c>
      <c r="D221" s="258" t="s">
        <v>618</v>
      </c>
      <c r="E221" s="13" t="s">
        <v>387</v>
      </c>
      <c r="F221" s="13" t="s">
        <v>736</v>
      </c>
      <c r="G221" s="13" t="s">
        <v>69</v>
      </c>
      <c r="H221" s="13" t="s">
        <v>683</v>
      </c>
      <c r="I221" s="13" t="s">
        <v>933</v>
      </c>
    </row>
    <row r="222" spans="1:11" ht="14.25" customHeight="1">
      <c r="A222" s="258" t="str">
        <f>B222&amp;C222&amp;D222</f>
        <v>T24COREPD_PAYMENT_DUEUSE_OF_LOAN_CHA</v>
      </c>
      <c r="B222" s="258" t="s">
        <v>512</v>
      </c>
      <c r="C222" s="16" t="s">
        <v>626</v>
      </c>
      <c r="D222" s="258" t="s">
        <v>619</v>
      </c>
      <c r="E222" s="13" t="s">
        <v>931</v>
      </c>
      <c r="F222" s="13" t="s">
        <v>736</v>
      </c>
      <c r="G222" s="13" t="s">
        <v>69</v>
      </c>
      <c r="H222" s="13" t="s">
        <v>932</v>
      </c>
      <c r="I222" s="13" t="s">
        <v>933</v>
      </c>
    </row>
    <row r="223" spans="1:11" ht="14.25" customHeight="1">
      <c r="A223" s="258"/>
      <c r="B223" s="258" t="s">
        <v>512</v>
      </c>
      <c r="C223" s="16" t="s">
        <v>626</v>
      </c>
      <c r="D223" s="258" t="s">
        <v>640</v>
      </c>
      <c r="E223" s="13" t="s">
        <v>957</v>
      </c>
      <c r="F223" s="13" t="s">
        <v>736</v>
      </c>
      <c r="G223" s="13" t="s">
        <v>69</v>
      </c>
      <c r="H223" s="13" t="s">
        <v>791</v>
      </c>
      <c r="I223" s="13"/>
    </row>
    <row r="224" spans="1:11" ht="14.25" customHeight="1">
      <c r="A224" s="258"/>
      <c r="B224" s="258" t="s">
        <v>512</v>
      </c>
      <c r="C224" s="16" t="s">
        <v>626</v>
      </c>
      <c r="D224" s="258" t="s">
        <v>610</v>
      </c>
      <c r="E224" s="13" t="s">
        <v>910</v>
      </c>
      <c r="F224" s="13" t="s">
        <v>736</v>
      </c>
      <c r="G224" s="13" t="s">
        <v>69</v>
      </c>
      <c r="H224" s="13" t="s">
        <v>911</v>
      </c>
      <c r="I224" s="13"/>
    </row>
    <row r="225" spans="1:9" ht="14.25" customHeight="1">
      <c r="A225" s="258"/>
      <c r="B225" s="258" t="s">
        <v>512</v>
      </c>
      <c r="C225" s="16" t="s">
        <v>626</v>
      </c>
      <c r="D225" s="258" t="s">
        <v>616</v>
      </c>
      <c r="E225" s="13" t="s">
        <v>925</v>
      </c>
      <c r="F225" s="13" t="s">
        <v>736</v>
      </c>
      <c r="G225" s="13" t="s">
        <v>207</v>
      </c>
      <c r="H225" s="13" t="s">
        <v>926</v>
      </c>
      <c r="I225" s="13"/>
    </row>
    <row r="226" spans="1:9" ht="14.25" customHeight="1">
      <c r="A226" s="258"/>
      <c r="B226" s="258" t="s">
        <v>512</v>
      </c>
      <c r="C226" s="16" t="s">
        <v>626</v>
      </c>
      <c r="D226" s="258" t="s">
        <v>598</v>
      </c>
      <c r="E226" s="13"/>
      <c r="F226" s="13"/>
      <c r="G226" s="23" t="s">
        <v>69</v>
      </c>
      <c r="H226" s="23" t="s">
        <v>887</v>
      </c>
      <c r="I226" s="13"/>
    </row>
    <row r="227" spans="1:9" ht="14.25" customHeight="1">
      <c r="A227" s="258"/>
      <c r="B227" s="258" t="s">
        <v>512</v>
      </c>
      <c r="C227" s="16" t="s">
        <v>626</v>
      </c>
      <c r="D227" s="258" t="s">
        <v>398</v>
      </c>
      <c r="E227" s="13"/>
      <c r="F227" s="13"/>
      <c r="G227" s="13" t="s">
        <v>74</v>
      </c>
      <c r="H227" s="13" t="s">
        <v>930</v>
      </c>
      <c r="I227" s="13"/>
    </row>
    <row r="228" spans="1:9" ht="14.25" customHeight="1">
      <c r="A228" s="258" t="str">
        <f>B228&amp;C228&amp;D228</f>
        <v>T24COREPD_PAYMENT_DUE_HISCURR_NO</v>
      </c>
      <c r="B228" s="258" t="s">
        <v>512</v>
      </c>
      <c r="C228" s="16" t="s">
        <v>633</v>
      </c>
      <c r="D228" s="258" t="s">
        <v>468</v>
      </c>
      <c r="E228" s="13" t="s">
        <v>958</v>
      </c>
      <c r="F228" s="13" t="s">
        <v>736</v>
      </c>
      <c r="I228" s="13" t="s">
        <v>933</v>
      </c>
    </row>
    <row r="229" spans="1:9" ht="14.25" customHeight="1">
      <c r="A229" s="258" t="str">
        <f>B229&amp;C229&amp;D229</f>
        <v>T24COREPD_PAYMENT_DUE_HISPD_TYPE</v>
      </c>
      <c r="B229" s="258" t="s">
        <v>512</v>
      </c>
      <c r="C229" s="16" t="s">
        <v>633</v>
      </c>
      <c r="D229" s="258" t="s">
        <v>630</v>
      </c>
      <c r="E229" s="13" t="s">
        <v>959</v>
      </c>
      <c r="F229" s="13" t="s">
        <v>736</v>
      </c>
      <c r="I229" s="13" t="s">
        <v>933</v>
      </c>
    </row>
    <row r="230" spans="1:9" ht="14.25" customHeight="1">
      <c r="A230" s="258" t="str">
        <f>B230&amp;C230&amp;D230</f>
        <v>T24COREPD_PAYMENT_DUE_HISRECID</v>
      </c>
      <c r="B230" s="258" t="s">
        <v>512</v>
      </c>
      <c r="C230" s="16" t="s">
        <v>633</v>
      </c>
      <c r="D230" s="258" t="s">
        <v>490</v>
      </c>
      <c r="E230" s="13" t="s">
        <v>914</v>
      </c>
      <c r="F230" s="13" t="s">
        <v>736</v>
      </c>
      <c r="I230" s="13" t="s">
        <v>933</v>
      </c>
    </row>
    <row r="231" spans="1:9" ht="14.25" customHeight="1">
      <c r="A231" s="258" t="str">
        <f>B231&amp;C231&amp;D231</f>
        <v>T24COREPD_PAYMENT_DUE_HIS_MVACC_FCC</v>
      </c>
      <c r="B231" s="258" t="s">
        <v>512</v>
      </c>
      <c r="C231" s="16" t="s">
        <v>634</v>
      </c>
      <c r="D231" s="258" t="s">
        <v>507</v>
      </c>
      <c r="E231" s="13" t="s">
        <v>735</v>
      </c>
      <c r="F231" s="13" t="s">
        <v>736</v>
      </c>
      <c r="I231" s="13" t="s">
        <v>960</v>
      </c>
    </row>
    <row r="232" spans="1:9" ht="14.25" customHeight="1">
      <c r="A232" s="258" t="str">
        <f>B232&amp;C232&amp;D232</f>
        <v>T24COREPD_PAYMENT_DUE_HIS_MVAPPROVE_AMOUNT</v>
      </c>
      <c r="B232" s="258" t="s">
        <v>512</v>
      </c>
      <c r="C232" s="16" t="s">
        <v>634</v>
      </c>
      <c r="D232" s="258" t="s">
        <v>595</v>
      </c>
      <c r="E232" s="13" t="s">
        <v>934</v>
      </c>
      <c r="F232" s="13" t="s">
        <v>721</v>
      </c>
      <c r="I232" s="13" t="s">
        <v>960</v>
      </c>
    </row>
    <row r="233" spans="1:9" ht="14.25" customHeight="1">
      <c r="A233" s="258" t="str">
        <f>B233&amp;C233&amp;D233</f>
        <v>T24COREPD_PAYMENT_DUE_HIS_MVCATEGORY</v>
      </c>
      <c r="B233" s="258" t="s">
        <v>512</v>
      </c>
      <c r="C233" s="16" t="s">
        <v>634</v>
      </c>
      <c r="D233" s="258" t="s">
        <v>597</v>
      </c>
      <c r="E233" s="13" t="s">
        <v>961</v>
      </c>
      <c r="F233" s="13" t="s">
        <v>736</v>
      </c>
      <c r="I233" s="13" t="s">
        <v>960</v>
      </c>
    </row>
    <row r="234" spans="1:9" ht="14.25" customHeight="1">
      <c r="A234" s="258" t="str">
        <f>B234&amp;C234&amp;D234</f>
        <v>T24COREPD_PAYMENT_DUE_HIS_MVCO_CODE</v>
      </c>
      <c r="B234" s="258" t="s">
        <v>512</v>
      </c>
      <c r="C234" s="16" t="s">
        <v>634</v>
      </c>
      <c r="D234" s="258" t="s">
        <v>460</v>
      </c>
      <c r="E234" s="13" t="s">
        <v>259</v>
      </c>
      <c r="F234" s="13" t="s">
        <v>736</v>
      </c>
      <c r="I234" s="13" t="s">
        <v>960</v>
      </c>
    </row>
    <row r="235" spans="1:9" ht="14.25" customHeight="1">
      <c r="A235" s="258" t="str">
        <f>B235&amp;C235&amp;D235</f>
        <v>T24COREPD_PAYMENT_DUE_HIS_MVCREDIT_STATUS</v>
      </c>
      <c r="B235" s="258" t="s">
        <v>512</v>
      </c>
      <c r="C235" s="16" t="s">
        <v>634</v>
      </c>
      <c r="D235" s="258" t="s">
        <v>627</v>
      </c>
      <c r="E235" s="13" t="s">
        <v>962</v>
      </c>
      <c r="F235" s="13" t="s">
        <v>736</v>
      </c>
      <c r="I235" s="13" t="s">
        <v>960</v>
      </c>
    </row>
    <row r="236" spans="1:9" ht="14.25" customHeight="1">
      <c r="A236" s="258" t="str">
        <f>B236&amp;C236&amp;D236</f>
        <v>T24COREPD_PAYMENT_DUE_HIS_MVCURR_NO</v>
      </c>
      <c r="B236" s="258" t="s">
        <v>512</v>
      </c>
      <c r="C236" s="16" t="s">
        <v>634</v>
      </c>
      <c r="D236" s="258" t="s">
        <v>468</v>
      </c>
      <c r="E236" s="13" t="s">
        <v>950</v>
      </c>
      <c r="F236" s="13" t="s">
        <v>736</v>
      </c>
      <c r="I236" s="13" t="s">
        <v>960</v>
      </c>
    </row>
    <row r="237" spans="1:9" ht="14.25" customHeight="1">
      <c r="A237" s="258" t="str">
        <f>B237&amp;C237&amp;D237</f>
        <v>T24COREPD_PAYMENT_DUE_HIS_MVCUSTOMER</v>
      </c>
      <c r="B237" s="258" t="s">
        <v>512</v>
      </c>
      <c r="C237" s="16" t="s">
        <v>634</v>
      </c>
      <c r="D237" s="258" t="s">
        <v>513</v>
      </c>
      <c r="E237" s="13" t="s">
        <v>254</v>
      </c>
      <c r="F237" s="13" t="s">
        <v>736</v>
      </c>
      <c r="I237" s="13" t="s">
        <v>960</v>
      </c>
    </row>
    <row r="238" spans="1:9" ht="14.25" customHeight="1">
      <c r="A238" s="258" t="str">
        <f>B238&amp;C238&amp;D238</f>
        <v>T24COREPD_PAYMENT_DUE_HIS_MVDATE_TIME</v>
      </c>
      <c r="B238" s="258" t="s">
        <v>512</v>
      </c>
      <c r="C238" s="16" t="s">
        <v>634</v>
      </c>
      <c r="D238" s="258" t="s">
        <v>472</v>
      </c>
      <c r="E238" s="13" t="s">
        <v>963</v>
      </c>
      <c r="F238" s="13" t="s">
        <v>736</v>
      </c>
      <c r="I238" s="13" t="s">
        <v>960</v>
      </c>
    </row>
    <row r="239" spans="1:9" ht="14.25" customHeight="1">
      <c r="A239" s="258" t="str">
        <f>B239&amp;C239&amp;D239</f>
        <v>T24COREPD_PAYMENT_DUE_HIS_MVFINAL_DUE_DATE</v>
      </c>
      <c r="B239" s="258" t="s">
        <v>512</v>
      </c>
      <c r="C239" s="16" t="s">
        <v>634</v>
      </c>
      <c r="D239" s="258" t="s">
        <v>635</v>
      </c>
      <c r="E239" s="13" t="s">
        <v>964</v>
      </c>
      <c r="F239" s="13" t="s">
        <v>736</v>
      </c>
      <c r="I239" s="13" t="s">
        <v>960</v>
      </c>
    </row>
    <row r="240" spans="1:9" ht="14.25" customHeight="1">
      <c r="A240" s="258" t="str">
        <f>B240&amp;C240&amp;D240</f>
        <v>T24COREPD_PAYMENT_DUE_HIS_MVFLAG_STATUS</v>
      </c>
      <c r="B240" s="258" t="s">
        <v>512</v>
      </c>
      <c r="C240" s="16" t="s">
        <v>634</v>
      </c>
      <c r="D240" s="258" t="s">
        <v>628</v>
      </c>
      <c r="E240" s="13" t="s">
        <v>965</v>
      </c>
      <c r="F240" s="13" t="s">
        <v>736</v>
      </c>
      <c r="I240" s="13" t="s">
        <v>960</v>
      </c>
    </row>
    <row r="241" spans="1:9" ht="14.25" customHeight="1">
      <c r="A241" s="258" t="str">
        <f>B241&amp;C241&amp;D241</f>
        <v>T24COREPD_PAYMENT_DUE_HIS_MVORIGINAL_MAT</v>
      </c>
      <c r="B241" s="258" t="s">
        <v>512</v>
      </c>
      <c r="C241" s="16" t="s">
        <v>634</v>
      </c>
      <c r="D241" s="258" t="s">
        <v>629</v>
      </c>
      <c r="E241" s="13" t="s">
        <v>966</v>
      </c>
      <c r="F241" s="13" t="s">
        <v>736</v>
      </c>
      <c r="I241" s="13" t="s">
        <v>960</v>
      </c>
    </row>
    <row r="242" spans="1:9" ht="14.25" customHeight="1">
      <c r="A242" s="258" t="str">
        <f>B242&amp;C242&amp;D242</f>
        <v>T24COREPD_PAYMENT_DUE_HIS_MVPAY_TYPE</v>
      </c>
      <c r="B242" s="258" t="s">
        <v>512</v>
      </c>
      <c r="C242" s="16" t="s">
        <v>634</v>
      </c>
      <c r="D242" s="258" t="s">
        <v>636</v>
      </c>
      <c r="E242" s="13" t="s">
        <v>967</v>
      </c>
      <c r="F242" s="13" t="s">
        <v>736</v>
      </c>
      <c r="I242" s="13" t="s">
        <v>960</v>
      </c>
    </row>
    <row r="243" spans="1:9" ht="14.25" customHeight="1">
      <c r="A243" s="258" t="str">
        <f>B243&amp;C243&amp;D243</f>
        <v>T24COREPD_PAYMENT_DUE_HIS_MVPD_TYPE</v>
      </c>
      <c r="B243" s="258" t="s">
        <v>512</v>
      </c>
      <c r="C243" s="16" t="s">
        <v>634</v>
      </c>
      <c r="D243" s="258" t="s">
        <v>630</v>
      </c>
      <c r="E243" s="13" t="s">
        <v>959</v>
      </c>
      <c r="F243" s="13" t="s">
        <v>736</v>
      </c>
      <c r="I243" s="13" t="s">
        <v>960</v>
      </c>
    </row>
    <row r="244" spans="1:9" ht="14.25" customHeight="1">
      <c r="A244" s="258" t="str">
        <f>B244&amp;C244&amp;D244</f>
        <v>T24COREPD_PAYMENT_DUE_HIS_MVPE_RATE</v>
      </c>
      <c r="B244" s="258" t="s">
        <v>512</v>
      </c>
      <c r="C244" s="16" t="s">
        <v>634</v>
      </c>
      <c r="D244" s="258" t="s">
        <v>613</v>
      </c>
      <c r="E244" s="13" t="s">
        <v>920</v>
      </c>
      <c r="F244" s="13" t="s">
        <v>736</v>
      </c>
      <c r="I244" s="13" t="s">
        <v>960</v>
      </c>
    </row>
    <row r="245" spans="1:9" ht="14.25" customHeight="1">
      <c r="A245" s="258" t="str">
        <f>B245&amp;C245&amp;D245</f>
        <v>T24COREPD_PAYMENT_DUE_HIS_MVPENALTY_RATE</v>
      </c>
      <c r="B245" s="258" t="s">
        <v>512</v>
      </c>
      <c r="C245" s="16" t="s">
        <v>634</v>
      </c>
      <c r="D245" s="258" t="s">
        <v>631</v>
      </c>
      <c r="E245" s="13" t="s">
        <v>955</v>
      </c>
      <c r="F245" s="13" t="s">
        <v>736</v>
      </c>
      <c r="I245" s="13" t="s">
        <v>960</v>
      </c>
    </row>
    <row r="246" spans="1:9" ht="14.25" customHeight="1">
      <c r="A246" s="258" t="str">
        <f>B246&amp;C246&amp;D246</f>
        <v>T24COREPD_PAYMENT_DUE_HIS_MVRECID</v>
      </c>
      <c r="B246" s="258" t="s">
        <v>512</v>
      </c>
      <c r="C246" s="16" t="s">
        <v>634</v>
      </c>
      <c r="D246" s="258" t="s">
        <v>490</v>
      </c>
      <c r="E246" s="13" t="s">
        <v>968</v>
      </c>
      <c r="F246" s="13" t="s">
        <v>736</v>
      </c>
      <c r="I246" s="13" t="s">
        <v>960</v>
      </c>
    </row>
    <row r="247" spans="1:9" ht="14.25" customHeight="1">
      <c r="A247" s="258" t="str">
        <f>B247&amp;C247&amp;D247</f>
        <v>T24COREPD_PAYMENT_DUE_HIS_MVRECORD_STATUS</v>
      </c>
      <c r="B247" s="258" t="s">
        <v>512</v>
      </c>
      <c r="C247" s="16" t="s">
        <v>634</v>
      </c>
      <c r="D247" s="258" t="s">
        <v>491</v>
      </c>
      <c r="E247" s="13" t="s">
        <v>773</v>
      </c>
      <c r="F247" s="13" t="s">
        <v>736</v>
      </c>
      <c r="I247" s="13" t="s">
        <v>960</v>
      </c>
    </row>
    <row r="248" spans="1:9" ht="14.25" customHeight="1">
      <c r="A248" s="258" t="str">
        <f>B248&amp;C248&amp;D248</f>
        <v>T24COREPD_PAYMENT_DUE_HIS_MVREPAYMENT_ACCT</v>
      </c>
      <c r="B248" s="258" t="s">
        <v>512</v>
      </c>
      <c r="C248" s="16" t="s">
        <v>634</v>
      </c>
      <c r="D248" s="258" t="s">
        <v>637</v>
      </c>
      <c r="E248" s="13" t="s">
        <v>969</v>
      </c>
      <c r="F248" s="13" t="s">
        <v>736</v>
      </c>
      <c r="I248" s="13" t="s">
        <v>960</v>
      </c>
    </row>
    <row r="249" spans="1:9" ht="14.25" customHeight="1">
      <c r="A249" s="258" t="str">
        <f>B249&amp;C249&amp;D249</f>
        <v>T24COREPD_PAYMENT_DUE_MVACC_FCC</v>
      </c>
      <c r="B249" s="258" t="s">
        <v>512</v>
      </c>
      <c r="C249" s="16" t="s">
        <v>638</v>
      </c>
      <c r="D249" s="258" t="s">
        <v>507</v>
      </c>
      <c r="E249" s="13" t="s">
        <v>735</v>
      </c>
      <c r="F249" s="13" t="s">
        <v>736</v>
      </c>
      <c r="G249" s="13" t="s">
        <v>69</v>
      </c>
      <c r="H249" s="13" t="s">
        <v>877</v>
      </c>
      <c r="I249" s="13" t="s">
        <v>960</v>
      </c>
    </row>
    <row r="250" spans="1:9" ht="14.25" customHeight="1">
      <c r="A250" s="258" t="str">
        <f>B250&amp;C250&amp;D250</f>
        <v>T24COREPD_PAYMENT_DUE_MVAPPROVE_AMOUNT</v>
      </c>
      <c r="B250" s="258" t="s">
        <v>512</v>
      </c>
      <c r="C250" s="16" t="s">
        <v>638</v>
      </c>
      <c r="D250" s="258" t="s">
        <v>595</v>
      </c>
      <c r="E250" s="13" t="s">
        <v>934</v>
      </c>
      <c r="F250" s="13" t="s">
        <v>736</v>
      </c>
      <c r="G250" s="13" t="s">
        <v>69</v>
      </c>
      <c r="H250" s="13" t="s">
        <v>880</v>
      </c>
      <c r="I250" s="13" t="s">
        <v>960</v>
      </c>
    </row>
    <row r="251" spans="1:9" ht="14.25" customHeight="1">
      <c r="A251" s="258" t="str">
        <f>B251&amp;C251&amp;D251</f>
        <v>T24COREPD_PAYMENT_DUE_MVCATEGORY</v>
      </c>
      <c r="B251" s="258" t="s">
        <v>512</v>
      </c>
      <c r="C251" s="16" t="s">
        <v>638</v>
      </c>
      <c r="D251" s="258" t="s">
        <v>597</v>
      </c>
      <c r="E251" s="13" t="s">
        <v>961</v>
      </c>
      <c r="F251" s="13" t="s">
        <v>736</v>
      </c>
      <c r="G251" s="13" t="s">
        <v>69</v>
      </c>
      <c r="H251" s="13" t="s">
        <v>748</v>
      </c>
      <c r="I251" s="13" t="s">
        <v>960</v>
      </c>
    </row>
    <row r="252" spans="1:9" ht="14.25" customHeight="1">
      <c r="A252" s="258" t="str">
        <f>B252&amp;C252&amp;D252</f>
        <v>T24COREPD_PAYMENT_DUE_MVCO_CODE</v>
      </c>
      <c r="B252" s="258" t="s">
        <v>512</v>
      </c>
      <c r="C252" s="16" t="s">
        <v>638</v>
      </c>
      <c r="D252" s="258" t="s">
        <v>460</v>
      </c>
      <c r="E252" s="13" t="s">
        <v>259</v>
      </c>
      <c r="F252" s="13" t="s">
        <v>736</v>
      </c>
      <c r="G252" s="13" t="s">
        <v>883</v>
      </c>
      <c r="H252" s="13" t="s">
        <v>884</v>
      </c>
      <c r="I252" s="13" t="s">
        <v>960</v>
      </c>
    </row>
    <row r="253" spans="1:9" ht="14.25" customHeight="1">
      <c r="A253" s="258" t="str">
        <f>B253&amp;C253&amp;D253</f>
        <v>T24COREPD_PAYMENT_DUE_MVCOMMIT_ACTION</v>
      </c>
      <c r="B253" s="258" t="s">
        <v>512</v>
      </c>
      <c r="C253" s="16" t="s">
        <v>638</v>
      </c>
      <c r="D253" s="258" t="s">
        <v>461</v>
      </c>
      <c r="E253" s="13" t="s">
        <v>970</v>
      </c>
      <c r="F253" s="13" t="s">
        <v>721</v>
      </c>
      <c r="I253" s="13" t="s">
        <v>960</v>
      </c>
    </row>
    <row r="254" spans="1:9" ht="14.25" customHeight="1">
      <c r="A254" s="258" t="str">
        <f>B254&amp;C254&amp;D254</f>
        <v>T24COREPD_PAYMENT_DUE_MVCREDIT_STATUS</v>
      </c>
      <c r="B254" s="258" t="s">
        <v>512</v>
      </c>
      <c r="C254" s="16" t="s">
        <v>638</v>
      </c>
      <c r="D254" s="258" t="s">
        <v>627</v>
      </c>
      <c r="E254" s="13" t="s">
        <v>962</v>
      </c>
      <c r="F254" s="13" t="s">
        <v>736</v>
      </c>
      <c r="I254" s="13" t="s">
        <v>960</v>
      </c>
    </row>
    <row r="255" spans="1:9" ht="14.25" customHeight="1">
      <c r="A255" s="258" t="str">
        <f>B255&amp;C255&amp;D255</f>
        <v>T24COREPD_PAYMENT_DUE_MVCURR_NO</v>
      </c>
      <c r="B255" s="258" t="s">
        <v>512</v>
      </c>
      <c r="C255" s="16" t="s">
        <v>638</v>
      </c>
      <c r="D255" s="258" t="s">
        <v>468</v>
      </c>
      <c r="E255" s="13" t="s">
        <v>950</v>
      </c>
      <c r="F255" s="13" t="s">
        <v>736</v>
      </c>
      <c r="I255" s="13" t="s">
        <v>960</v>
      </c>
    </row>
    <row r="256" spans="1:9" ht="14.25" customHeight="1">
      <c r="A256" s="258" t="str">
        <f>B256&amp;C256&amp;D256</f>
        <v>T24COREPD_PAYMENT_DUE_MVCUSTOMER</v>
      </c>
      <c r="B256" s="258" t="s">
        <v>512</v>
      </c>
      <c r="C256" s="16" t="s">
        <v>638</v>
      </c>
      <c r="D256" s="258" t="s">
        <v>513</v>
      </c>
      <c r="E256" s="13" t="s">
        <v>254</v>
      </c>
      <c r="F256" s="13" t="s">
        <v>736</v>
      </c>
      <c r="G256" s="13" t="s">
        <v>69</v>
      </c>
      <c r="H256" s="13" t="s">
        <v>889</v>
      </c>
      <c r="I256" s="13" t="s">
        <v>960</v>
      </c>
    </row>
    <row r="257" spans="1:9" ht="14.25" customHeight="1">
      <c r="A257" s="258" t="str">
        <f>B257&amp;C257&amp;D257</f>
        <v>T24COREPD_PAYMENT_DUE_MVDATE_TIME</v>
      </c>
      <c r="B257" s="258" t="s">
        <v>512</v>
      </c>
      <c r="C257" s="16" t="s">
        <v>638</v>
      </c>
      <c r="D257" s="258" t="s">
        <v>472</v>
      </c>
      <c r="E257" s="13" t="s">
        <v>963</v>
      </c>
      <c r="F257" s="13" t="s">
        <v>736</v>
      </c>
      <c r="I257" s="13" t="s">
        <v>960</v>
      </c>
    </row>
    <row r="258" spans="1:9" ht="14.25" customHeight="1">
      <c r="A258" s="258" t="str">
        <f>B258&amp;C258&amp;D258</f>
        <v>T24COREPD_PAYMENT_DUE_MVFINAL_DUE_DATE</v>
      </c>
      <c r="B258" s="258" t="s">
        <v>512</v>
      </c>
      <c r="C258" s="16" t="s">
        <v>638</v>
      </c>
      <c r="D258" s="258" t="s">
        <v>635</v>
      </c>
      <c r="E258" s="13" t="s">
        <v>964</v>
      </c>
      <c r="F258" s="13" t="s">
        <v>736</v>
      </c>
      <c r="I258" s="13" t="s">
        <v>960</v>
      </c>
    </row>
    <row r="259" spans="1:9" ht="14.25" customHeight="1">
      <c r="A259" s="258" t="str">
        <f>B259&amp;C259&amp;D259</f>
        <v>T24COREPD_PAYMENT_DUE_MVFLAG_STATUS</v>
      </c>
      <c r="B259" s="258" t="s">
        <v>512</v>
      </c>
      <c r="C259" s="16" t="s">
        <v>638</v>
      </c>
      <c r="D259" s="258" t="s">
        <v>628</v>
      </c>
      <c r="E259" s="13" t="s">
        <v>965</v>
      </c>
      <c r="F259" s="13" t="s">
        <v>736</v>
      </c>
      <c r="I259" s="13" t="s">
        <v>960</v>
      </c>
    </row>
    <row r="260" spans="1:9" ht="14.25" customHeight="1">
      <c r="A260" s="258" t="str">
        <f>B260&amp;C260&amp;D260</f>
        <v>T24COREPD_PAYMENT_DUE_MVID</v>
      </c>
      <c r="B260" s="258" t="s">
        <v>512</v>
      </c>
      <c r="C260" s="16" t="s">
        <v>638</v>
      </c>
      <c r="D260" s="258" t="s">
        <v>439</v>
      </c>
      <c r="E260" s="13" t="s">
        <v>249</v>
      </c>
      <c r="I260" s="13" t="s">
        <v>960</v>
      </c>
    </row>
    <row r="261" spans="1:9" ht="14.25" customHeight="1">
      <c r="A261" s="258" t="str">
        <f>B261&amp;C261&amp;D261</f>
        <v>T24COREPD_PAYMENT_DUE_MVORIGINAL_MAT</v>
      </c>
      <c r="B261" s="258" t="s">
        <v>512</v>
      </c>
      <c r="C261" s="16" t="s">
        <v>638</v>
      </c>
      <c r="D261" s="258" t="s">
        <v>629</v>
      </c>
      <c r="E261" s="13" t="s">
        <v>966</v>
      </c>
      <c r="F261" s="13" t="s">
        <v>736</v>
      </c>
      <c r="G261" s="13" t="s">
        <v>69</v>
      </c>
      <c r="H261" s="13" t="s">
        <v>897</v>
      </c>
      <c r="I261" s="13" t="s">
        <v>960</v>
      </c>
    </row>
    <row r="262" spans="1:9" ht="14.25" customHeight="1">
      <c r="A262" s="258" t="str">
        <f>B262&amp;C262&amp;D262</f>
        <v>T24COREPD_PAYMENT_DUE_MVPAY_AMT_OUTS</v>
      </c>
      <c r="B262" s="258" t="s">
        <v>512</v>
      </c>
      <c r="C262" s="16" t="s">
        <v>638</v>
      </c>
      <c r="D262" s="258" t="s">
        <v>639</v>
      </c>
      <c r="E262" s="13" t="s">
        <v>971</v>
      </c>
      <c r="F262" s="13" t="s">
        <v>736</v>
      </c>
      <c r="I262" s="13" t="s">
        <v>960</v>
      </c>
    </row>
    <row r="263" spans="1:9" ht="14.25" customHeight="1">
      <c r="A263" s="258" t="str">
        <f>B263&amp;C263&amp;D263</f>
        <v>T24COREPD_PAYMENT_DUE_MVPAY_TYPE</v>
      </c>
      <c r="B263" s="258" t="s">
        <v>512</v>
      </c>
      <c r="C263" s="16" t="s">
        <v>638</v>
      </c>
      <c r="D263" s="258" t="s">
        <v>636</v>
      </c>
      <c r="E263" s="13" t="s">
        <v>967</v>
      </c>
      <c r="F263" s="13" t="s">
        <v>736</v>
      </c>
      <c r="I263" s="13" t="s">
        <v>960</v>
      </c>
    </row>
    <row r="264" spans="1:9" ht="14.25" customHeight="1">
      <c r="A264" s="258" t="str">
        <f>B264&amp;C264&amp;D264</f>
        <v>T24COREPD_PAYMENT_DUE_MVPAYMENT_DTE_DUE</v>
      </c>
      <c r="B264" s="258" t="s">
        <v>512</v>
      </c>
      <c r="C264" s="16" t="s">
        <v>638</v>
      </c>
      <c r="D264" s="258" t="s">
        <v>640</v>
      </c>
      <c r="E264" s="13" t="s">
        <v>957</v>
      </c>
      <c r="F264" s="13" t="s">
        <v>736</v>
      </c>
      <c r="G264" s="13" t="s">
        <v>69</v>
      </c>
      <c r="H264" s="13" t="s">
        <v>791</v>
      </c>
      <c r="I264" s="13" t="s">
        <v>960</v>
      </c>
    </row>
    <row r="265" spans="1:9" ht="14.25" customHeight="1">
      <c r="A265" s="258" t="str">
        <f>B265&amp;C265&amp;D265</f>
        <v>T24COREPD_PAYMENT_DUE_MVPD_TYPE</v>
      </c>
      <c r="B265" s="258" t="s">
        <v>512</v>
      </c>
      <c r="C265" s="16" t="s">
        <v>638</v>
      </c>
      <c r="D265" s="258" t="s">
        <v>630</v>
      </c>
      <c r="E265" s="13" t="s">
        <v>959</v>
      </c>
      <c r="F265" s="13" t="s">
        <v>736</v>
      </c>
      <c r="I265" s="13" t="s">
        <v>960</v>
      </c>
    </row>
    <row r="266" spans="1:9" ht="14.25" customHeight="1">
      <c r="A266" s="258" t="str">
        <f>B266&amp;C266&amp;D266</f>
        <v>T24COREPD_PAYMENT_DUE_MVPE_RATE</v>
      </c>
      <c r="B266" s="258" t="s">
        <v>512</v>
      </c>
      <c r="C266" s="16" t="s">
        <v>638</v>
      </c>
      <c r="D266" s="258" t="s">
        <v>613</v>
      </c>
      <c r="E266" s="13" t="s">
        <v>920</v>
      </c>
      <c r="F266" s="13" t="s">
        <v>736</v>
      </c>
      <c r="G266" s="13" t="s">
        <v>207</v>
      </c>
      <c r="H266" s="13" t="s">
        <v>921</v>
      </c>
      <c r="I266" s="13" t="s">
        <v>960</v>
      </c>
    </row>
    <row r="267" spans="1:9" ht="14.25" customHeight="1">
      <c r="A267" s="258" t="str">
        <f>B267&amp;C267&amp;D267</f>
        <v>T24COREPD_PAYMENT_DUE_MVPENALTY_RATE</v>
      </c>
      <c r="B267" s="258" t="s">
        <v>512</v>
      </c>
      <c r="C267" s="16" t="s">
        <v>638</v>
      </c>
      <c r="D267" s="258" t="s">
        <v>631</v>
      </c>
      <c r="E267" s="13" t="s">
        <v>955</v>
      </c>
      <c r="F267" s="13" t="s">
        <v>736</v>
      </c>
      <c r="I267" s="13" t="s">
        <v>960</v>
      </c>
    </row>
    <row r="268" spans="1:9" ht="14.25" customHeight="1">
      <c r="A268" s="258" t="str">
        <f>B268&amp;C268&amp;D268</f>
        <v>T24COREPD_PAYMENT_DUE_MVRECID</v>
      </c>
      <c r="B268" s="258" t="s">
        <v>512</v>
      </c>
      <c r="C268" s="16" t="s">
        <v>638</v>
      </c>
      <c r="D268" s="258" t="s">
        <v>490</v>
      </c>
      <c r="E268" s="13" t="s">
        <v>968</v>
      </c>
      <c r="F268" s="13" t="s">
        <v>736</v>
      </c>
      <c r="G268" s="13" t="s">
        <v>69</v>
      </c>
      <c r="H268" s="13" t="s">
        <v>943</v>
      </c>
      <c r="I268" s="13" t="s">
        <v>960</v>
      </c>
    </row>
    <row r="269" spans="1:9" ht="14.25" customHeight="1">
      <c r="A269" s="258" t="str">
        <f>B269&amp;C269&amp;D269</f>
        <v>T24COREPD_PAYMENT_DUE_MVRECORD_STATUS</v>
      </c>
      <c r="B269" s="258" t="s">
        <v>512</v>
      </c>
      <c r="C269" s="16" t="s">
        <v>638</v>
      </c>
      <c r="D269" s="258" t="s">
        <v>491</v>
      </c>
      <c r="E269" s="13" t="s">
        <v>773</v>
      </c>
      <c r="F269" s="13" t="s">
        <v>736</v>
      </c>
      <c r="I269" s="13" t="s">
        <v>960</v>
      </c>
    </row>
    <row r="270" spans="1:9" ht="14.25" customHeight="1">
      <c r="A270" s="258" t="str">
        <f>B270&amp;C270&amp;D270</f>
        <v>T24COREPD_PAYMENT_DUE_MVREPAID_AMT</v>
      </c>
      <c r="B270" s="258" t="s">
        <v>512</v>
      </c>
      <c r="C270" s="16" t="s">
        <v>638</v>
      </c>
      <c r="D270" s="258" t="s">
        <v>641</v>
      </c>
      <c r="E270" s="13" t="s">
        <v>972</v>
      </c>
      <c r="F270" s="13" t="s">
        <v>736</v>
      </c>
      <c r="I270" s="13" t="s">
        <v>960</v>
      </c>
    </row>
    <row r="271" spans="1:9" ht="14.25" customHeight="1">
      <c r="A271" s="258" t="str">
        <f>B271&amp;C271&amp;D271</f>
        <v>T24COREPD_PAYMENT_DUE_MVREPAYMENT_ACCT</v>
      </c>
      <c r="B271" s="258" t="s">
        <v>512</v>
      </c>
      <c r="C271" s="16" t="s">
        <v>638</v>
      </c>
      <c r="D271" s="258" t="s">
        <v>637</v>
      </c>
      <c r="E271" s="13" t="s">
        <v>969</v>
      </c>
      <c r="G271" s="13" t="s">
        <v>74</v>
      </c>
      <c r="H271" s="13" t="s">
        <v>901</v>
      </c>
      <c r="I271" s="13" t="s">
        <v>960</v>
      </c>
    </row>
    <row r="272" spans="1:9" ht="14.25" customHeight="1">
      <c r="A272" s="258" t="str">
        <f>B272&amp;C272&amp;D272</f>
        <v>T24CORESECTORCUSTOMER_TYPE</v>
      </c>
      <c r="B272" s="258" t="s">
        <v>512</v>
      </c>
      <c r="C272" s="16" t="s">
        <v>579</v>
      </c>
      <c r="D272" s="258" t="s">
        <v>642</v>
      </c>
      <c r="E272" s="13" t="s">
        <v>973</v>
      </c>
      <c r="F272" s="13" t="s">
        <v>736</v>
      </c>
      <c r="I272" s="13" t="s">
        <v>960</v>
      </c>
    </row>
    <row r="273" spans="1:9" ht="14.25" customHeight="1">
      <c r="A273" s="258" t="str">
        <f>B273&amp;C273&amp;D273</f>
        <v>T24CORESECTORRECID</v>
      </c>
      <c r="B273" s="258" t="s">
        <v>512</v>
      </c>
      <c r="C273" s="16" t="s">
        <v>579</v>
      </c>
      <c r="D273" s="258" t="s">
        <v>490</v>
      </c>
      <c r="E273" s="13" t="s">
        <v>974</v>
      </c>
      <c r="F273" s="13" t="s">
        <v>736</v>
      </c>
      <c r="I273" s="13" t="s">
        <v>960</v>
      </c>
    </row>
    <row r="274" spans="1:9" ht="14.25" customHeight="1">
      <c r="A274" s="258" t="str">
        <f>B274&amp;C274&amp;D274</f>
        <v>T24CORESTMT_ENTRYAMOUNT_FCY</v>
      </c>
      <c r="B274" s="258" t="s">
        <v>512</v>
      </c>
      <c r="C274" s="16" t="s">
        <v>643</v>
      </c>
      <c r="D274" s="258" t="s">
        <v>456</v>
      </c>
      <c r="E274" s="13" t="s">
        <v>297</v>
      </c>
      <c r="F274" s="13" t="s">
        <v>736</v>
      </c>
      <c r="G274" s="13" t="s">
        <v>184</v>
      </c>
      <c r="H274" s="25" t="s">
        <v>975</v>
      </c>
      <c r="I274" s="13" t="s">
        <v>960</v>
      </c>
    </row>
    <row r="275" spans="1:9" ht="14.25" customHeight="1">
      <c r="A275" s="258" t="str">
        <f>B275&amp;C275&amp;D275</f>
        <v>T24CORESTMT_ENTRYAMOUNT_LCY</v>
      </c>
      <c r="B275" s="258" t="s">
        <v>512</v>
      </c>
      <c r="C275" s="16" t="s">
        <v>643</v>
      </c>
      <c r="D275" s="258" t="s">
        <v>457</v>
      </c>
      <c r="E275" s="13" t="s">
        <v>976</v>
      </c>
      <c r="F275" s="13" t="s">
        <v>736</v>
      </c>
      <c r="G275" s="13" t="s">
        <v>184</v>
      </c>
      <c r="H275" s="25" t="s">
        <v>977</v>
      </c>
      <c r="I275" s="13" t="s">
        <v>960</v>
      </c>
    </row>
    <row r="276" spans="1:9" ht="14.25" customHeight="1">
      <c r="A276" s="258" t="str">
        <f>B276&amp;C276&amp;D276</f>
        <v>T24CORESTMT_ENTRYBOOKING_DATE</v>
      </c>
      <c r="B276" s="258" t="s">
        <v>512</v>
      </c>
      <c r="C276" s="16" t="s">
        <v>643</v>
      </c>
      <c r="D276" s="258" t="s">
        <v>420</v>
      </c>
      <c r="E276" s="13" t="s">
        <v>978</v>
      </c>
      <c r="F276" s="13" t="s">
        <v>736</v>
      </c>
      <c r="G276" s="13" t="s">
        <v>184</v>
      </c>
      <c r="H276" s="25" t="s">
        <v>979</v>
      </c>
      <c r="I276" s="13" t="s">
        <v>960</v>
      </c>
    </row>
    <row r="277" spans="1:9" ht="14.25" customHeight="1">
      <c r="A277" s="258" t="str">
        <f>B277&amp;C277&amp;D277</f>
        <v>T24CORESTMT_ENTRYCURRENCY</v>
      </c>
      <c r="B277" s="258" t="s">
        <v>512</v>
      </c>
      <c r="C277" s="16" t="s">
        <v>643</v>
      </c>
      <c r="D277" s="258" t="s">
        <v>469</v>
      </c>
      <c r="E277" s="13" t="s">
        <v>980</v>
      </c>
      <c r="F277" s="13" t="s">
        <v>736</v>
      </c>
      <c r="G277" s="13" t="s">
        <v>184</v>
      </c>
      <c r="H277" s="25" t="s">
        <v>752</v>
      </c>
      <c r="I277" s="13" t="s">
        <v>960</v>
      </c>
    </row>
    <row r="278" spans="1:9" ht="14.25" customHeight="1">
      <c r="A278" s="258" t="str">
        <f>B278&amp;C278&amp;D278</f>
        <v>T24CORESTMT_ENTRYOUR_REFERENCE</v>
      </c>
      <c r="B278" s="258" t="s">
        <v>512</v>
      </c>
      <c r="C278" s="16" t="s">
        <v>643</v>
      </c>
      <c r="D278" s="258" t="s">
        <v>484</v>
      </c>
      <c r="E278" s="13" t="s">
        <v>981</v>
      </c>
      <c r="F278" s="13" t="s">
        <v>736</v>
      </c>
      <c r="G278" s="13" t="s">
        <v>184</v>
      </c>
      <c r="H278" s="25" t="s">
        <v>982</v>
      </c>
      <c r="I278" s="13" t="s">
        <v>960</v>
      </c>
    </row>
    <row r="279" spans="1:9" ht="14.25" customHeight="1">
      <c r="A279" s="258" t="str">
        <f>B279&amp;C279&amp;D279</f>
        <v>T24CORESTMT_ENTRYRECID</v>
      </c>
      <c r="B279" s="258" t="s">
        <v>512</v>
      </c>
      <c r="C279" s="16" t="s">
        <v>643</v>
      </c>
      <c r="D279" s="258" t="s">
        <v>490</v>
      </c>
      <c r="E279" s="13" t="s">
        <v>983</v>
      </c>
      <c r="F279" s="13" t="s">
        <v>736</v>
      </c>
      <c r="G279" s="13" t="s">
        <v>184</v>
      </c>
      <c r="H279" s="13" t="s">
        <v>984</v>
      </c>
      <c r="I279" s="13" t="s">
        <v>960</v>
      </c>
    </row>
    <row r="280" spans="1:9" ht="14.25" customHeight="1">
      <c r="A280" s="258" t="str">
        <f>B280&amp;C280&amp;D280</f>
        <v>T24CORESTMT_ENTRYTRANSACTION_CODE</v>
      </c>
      <c r="B280" s="258" t="s">
        <v>512</v>
      </c>
      <c r="C280" s="16" t="s">
        <v>643</v>
      </c>
      <c r="D280" s="258" t="s">
        <v>502</v>
      </c>
      <c r="E280" s="13" t="s">
        <v>985</v>
      </c>
      <c r="F280" s="13" t="s">
        <v>736</v>
      </c>
      <c r="G280" s="13" t="s">
        <v>184</v>
      </c>
      <c r="H280" s="13" t="s">
        <v>986</v>
      </c>
      <c r="I280" s="13" t="s">
        <v>960</v>
      </c>
    </row>
    <row r="281" spans="1:9" ht="14.25" customHeight="1">
      <c r="A281" s="258" t="str">
        <f>B281&amp;C281&amp;D281</f>
        <v>T24CORESTMT_ENTRYVALUE_DATE</v>
      </c>
      <c r="B281" s="258" t="s">
        <v>512</v>
      </c>
      <c r="C281" s="16" t="s">
        <v>643</v>
      </c>
      <c r="D281" s="258" t="s">
        <v>504</v>
      </c>
      <c r="E281" s="13" t="s">
        <v>987</v>
      </c>
      <c r="F281" s="13" t="s">
        <v>736</v>
      </c>
      <c r="G281" s="13" t="s">
        <v>184</v>
      </c>
      <c r="H281" s="13" t="s">
        <v>919</v>
      </c>
      <c r="I281" s="13" t="s">
        <v>960</v>
      </c>
    </row>
    <row r="282" spans="1:9" ht="14.25" customHeight="1">
      <c r="A282" s="258" t="str">
        <f>B282&amp;C282&amp;D282</f>
        <v>T24CORESTMT_ENTRYCOMPANY_CODE</v>
      </c>
      <c r="B282" s="258" t="s">
        <v>512</v>
      </c>
      <c r="C282" s="16" t="s">
        <v>643</v>
      </c>
      <c r="D282" s="26" t="s">
        <v>463</v>
      </c>
      <c r="E282" s="126" t="s">
        <v>749</v>
      </c>
      <c r="F282" s="13" t="s">
        <v>736</v>
      </c>
      <c r="G282" s="126" t="s">
        <v>184</v>
      </c>
      <c r="H282" s="126" t="s">
        <v>750</v>
      </c>
    </row>
    <row r="283" spans="1:9" ht="14.25" customHeight="1">
      <c r="A283" s="258" t="str">
        <f>B283&amp;C283&amp;D283</f>
        <v>T24CORESTMT_ENTRYCONSOL_KEY</v>
      </c>
      <c r="B283" s="258" t="s">
        <v>512</v>
      </c>
      <c r="C283" s="16" t="s">
        <v>643</v>
      </c>
      <c r="D283" s="26" t="s">
        <v>464</v>
      </c>
      <c r="E283" s="13" t="s">
        <v>988</v>
      </c>
      <c r="F283" s="13" t="s">
        <v>736</v>
      </c>
      <c r="G283" s="126" t="s">
        <v>184</v>
      </c>
      <c r="H283" s="126" t="s">
        <v>989</v>
      </c>
    </row>
    <row r="284" spans="1:9" ht="14.25" customHeight="1">
      <c r="A284" s="258" t="str">
        <f>B284&amp;C284&amp;D284</f>
        <v>T24CORESTMT_ENTRYOUR_REFERENCE</v>
      </c>
      <c r="B284" s="258" t="s">
        <v>512</v>
      </c>
      <c r="C284" s="16" t="s">
        <v>643</v>
      </c>
      <c r="D284" s="26" t="s">
        <v>484</v>
      </c>
      <c r="E284" s="126" t="s">
        <v>990</v>
      </c>
      <c r="F284" s="13" t="s">
        <v>736</v>
      </c>
      <c r="G284" s="126" t="s">
        <v>184</v>
      </c>
      <c r="H284" s="126" t="s">
        <v>991</v>
      </c>
    </row>
    <row r="285" spans="1:9" ht="14.25" customHeight="1">
      <c r="A285" s="258" t="str">
        <f>B285&amp;C285&amp;D285</f>
        <v>T24CORESTMT_ENTRYCUSTOMER_ID</v>
      </c>
      <c r="B285" s="258" t="s">
        <v>512</v>
      </c>
      <c r="C285" s="16" t="s">
        <v>643</v>
      </c>
      <c r="D285" s="26" t="s">
        <v>470</v>
      </c>
      <c r="E285" s="126" t="s">
        <v>992</v>
      </c>
      <c r="F285" s="13" t="s">
        <v>736</v>
      </c>
      <c r="G285" s="126" t="s">
        <v>184</v>
      </c>
      <c r="H285" s="126" t="s">
        <v>993</v>
      </c>
    </row>
    <row r="286" spans="1:9" ht="14.25" customHeight="1">
      <c r="A286" s="258" t="str">
        <f>B286&amp;C286&amp;D286</f>
        <v>T24CORESTMT_ENTRYSYSTEM_ID</v>
      </c>
      <c r="B286" s="258" t="s">
        <v>512</v>
      </c>
      <c r="C286" s="16" t="s">
        <v>643</v>
      </c>
      <c r="D286" s="26" t="s">
        <v>499</v>
      </c>
      <c r="E286" s="126" t="s">
        <v>994</v>
      </c>
      <c r="F286" s="13" t="s">
        <v>736</v>
      </c>
      <c r="G286" s="126" t="s">
        <v>184</v>
      </c>
      <c r="H286" s="126" t="s">
        <v>743</v>
      </c>
    </row>
    <row r="287" spans="1:9" ht="14.25" customHeight="1">
      <c r="A287" s="258" t="str">
        <f>B287&amp;C287&amp;D287</f>
        <v>T24CORESTMT_ENTRYEXCHANGE_RATE</v>
      </c>
      <c r="B287" s="258" t="s">
        <v>512</v>
      </c>
      <c r="C287" s="16" t="s">
        <v>643</v>
      </c>
      <c r="D287" s="26" t="s">
        <v>475</v>
      </c>
      <c r="E287" s="126" t="s">
        <v>893</v>
      </c>
      <c r="F287" s="13" t="s">
        <v>736</v>
      </c>
      <c r="G287" s="126" t="s">
        <v>184</v>
      </c>
      <c r="H287" s="126" t="s">
        <v>894</v>
      </c>
    </row>
    <row r="288" spans="1:9" ht="14.25" customHeight="1">
      <c r="A288" s="258" t="str">
        <f>B288&amp;C288&amp;D288</f>
        <v>T24CORESTMT_ENTRYPRODUCT_CATEGORY</v>
      </c>
      <c r="B288" s="258" t="s">
        <v>512</v>
      </c>
      <c r="C288" s="16" t="s">
        <v>643</v>
      </c>
      <c r="D288" s="26" t="s">
        <v>489</v>
      </c>
      <c r="E288" s="13" t="s">
        <v>995</v>
      </c>
      <c r="F288" s="13" t="s">
        <v>736</v>
      </c>
      <c r="G288" s="126" t="s">
        <v>184</v>
      </c>
      <c r="H288" s="13" t="s">
        <v>996</v>
      </c>
    </row>
    <row r="289" spans="1:8" ht="14.25" customHeight="1">
      <c r="A289" s="258" t="str">
        <f>B289&amp;C289&amp;D289</f>
        <v>T24CORESTMT_ENTRYNARRATIVE</v>
      </c>
      <c r="B289" s="258" t="s">
        <v>512</v>
      </c>
      <c r="C289" s="16" t="s">
        <v>643</v>
      </c>
      <c r="D289" s="26" t="s">
        <v>478</v>
      </c>
      <c r="E289" s="13" t="s">
        <v>997</v>
      </c>
      <c r="F289" s="13" t="s">
        <v>736</v>
      </c>
      <c r="G289" s="126" t="s">
        <v>184</v>
      </c>
      <c r="H289" s="27" t="s">
        <v>998</v>
      </c>
    </row>
    <row r="290" spans="1:8" ht="14.25" customHeight="1">
      <c r="A290" s="258" t="str">
        <f>B290&amp;C290&amp;D290</f>
        <v>T24CORESTMT_ENTRYACCOUNT_NUMBER</v>
      </c>
      <c r="B290" s="258" t="s">
        <v>512</v>
      </c>
      <c r="C290" s="16" t="s">
        <v>643</v>
      </c>
      <c r="D290" s="26" t="s">
        <v>453</v>
      </c>
      <c r="E290" s="13" t="s">
        <v>999</v>
      </c>
      <c r="F290" s="13" t="s">
        <v>736</v>
      </c>
      <c r="G290" s="126" t="s">
        <v>184</v>
      </c>
      <c r="H290" s="16" t="s">
        <v>1000</v>
      </c>
    </row>
    <row r="291" spans="1:8" ht="14.25" customHeight="1">
      <c r="A291" s="258" t="str">
        <f>B291&amp;C291&amp;D291</f>
        <v>T24CORESTMT_ENTRYCRF_TYPE</v>
      </c>
      <c r="B291" s="258" t="s">
        <v>512</v>
      </c>
      <c r="C291" s="16" t="s">
        <v>643</v>
      </c>
      <c r="D291" s="13" t="s">
        <v>467</v>
      </c>
      <c r="E291" s="18" t="s">
        <v>1001</v>
      </c>
      <c r="F291" s="13" t="s">
        <v>736</v>
      </c>
      <c r="G291" s="126" t="s">
        <v>184</v>
      </c>
      <c r="H291" s="13" t="s">
        <v>1002</v>
      </c>
    </row>
    <row r="292" spans="1:8" ht="14.25" customHeight="1">
      <c r="A292" s="258" t="str">
        <f>B292&amp;C292&amp;D292</f>
        <v>T24CORESTMT_ENTRYACCOUNTING_DATE</v>
      </c>
      <c r="B292" s="258" t="s">
        <v>512</v>
      </c>
      <c r="C292" s="16" t="s">
        <v>643</v>
      </c>
      <c r="D292" s="258" t="s">
        <v>454</v>
      </c>
      <c r="E292" s="13" t="s">
        <v>1003</v>
      </c>
      <c r="F292" s="13" t="s">
        <v>736</v>
      </c>
      <c r="G292" s="126" t="s">
        <v>184</v>
      </c>
      <c r="H292" s="31" t="s">
        <v>1004</v>
      </c>
    </row>
    <row r="293" spans="1:8" ht="14.25" customHeight="1">
      <c r="A293" s="258" t="str">
        <f>B293&amp;C293&amp;D293</f>
        <v>T24CORESTMT_ENTRYACCT_ID</v>
      </c>
      <c r="B293" s="258" t="s">
        <v>512</v>
      </c>
      <c r="C293" s="16" t="s">
        <v>643</v>
      </c>
      <c r="D293" s="258" t="s">
        <v>455</v>
      </c>
      <c r="E293" s="13" t="s">
        <v>1005</v>
      </c>
      <c r="F293" s="13" t="s">
        <v>736</v>
      </c>
      <c r="G293" s="126" t="s">
        <v>184</v>
      </c>
      <c r="H293" s="31" t="s">
        <v>1006</v>
      </c>
    </row>
    <row r="294" spans="1:8" ht="14.25" customHeight="1">
      <c r="A294" s="258" t="str">
        <f>B294&amp;C294&amp;D294</f>
        <v>T24CORESTMT_ENTRYBALANCE_TYPE</v>
      </c>
      <c r="B294" s="258" t="s">
        <v>512</v>
      </c>
      <c r="C294" s="16" t="s">
        <v>643</v>
      </c>
      <c r="D294" s="258" t="s">
        <v>458</v>
      </c>
      <c r="E294" s="13" t="s">
        <v>1007</v>
      </c>
      <c r="F294" s="13" t="s">
        <v>736</v>
      </c>
      <c r="G294" s="126" t="s">
        <v>184</v>
      </c>
      <c r="H294" s="31" t="s">
        <v>1008</v>
      </c>
    </row>
    <row r="295" spans="1:8" ht="14.25" customHeight="1">
      <c r="A295" s="258" t="str">
        <f>B295&amp;C295&amp;D295</f>
        <v>T24CORESTMT_ENTRYCARD_NUMBER</v>
      </c>
      <c r="B295" s="258" t="s">
        <v>512</v>
      </c>
      <c r="C295" s="16" t="s">
        <v>643</v>
      </c>
      <c r="D295" s="258" t="s">
        <v>459</v>
      </c>
      <c r="E295" s="13" t="s">
        <v>1009</v>
      </c>
      <c r="F295" s="13" t="s">
        <v>736</v>
      </c>
      <c r="G295" s="126" t="s">
        <v>184</v>
      </c>
      <c r="H295" s="31" t="s">
        <v>1010</v>
      </c>
    </row>
    <row r="296" spans="1:8" ht="14.25" customHeight="1">
      <c r="A296" s="258" t="str">
        <f>B296&amp;C296&amp;D296</f>
        <v>T24CORESTMT_ENTRYCOMMIT_ACTION</v>
      </c>
      <c r="B296" s="258" t="s">
        <v>512</v>
      </c>
      <c r="C296" s="16" t="s">
        <v>643</v>
      </c>
      <c r="D296" s="258" t="s">
        <v>461</v>
      </c>
      <c r="E296" s="13" t="s">
        <v>1011</v>
      </c>
      <c r="F296" s="13" t="s">
        <v>736</v>
      </c>
      <c r="G296" s="126" t="s">
        <v>184</v>
      </c>
      <c r="H296" s="31" t="s">
        <v>1012</v>
      </c>
    </row>
    <row r="297" spans="1:8" ht="14.25" customHeight="1">
      <c r="A297" s="258" t="str">
        <f>B297&amp;C297&amp;D297</f>
        <v>T24CORESTMT_ENTRYCOMMIT_TS</v>
      </c>
      <c r="B297" s="258" t="s">
        <v>512</v>
      </c>
      <c r="C297" s="16" t="s">
        <v>643</v>
      </c>
      <c r="D297" s="258" t="s">
        <v>462</v>
      </c>
      <c r="E297" s="13" t="s">
        <v>1013</v>
      </c>
      <c r="F297" s="13" t="s">
        <v>736</v>
      </c>
      <c r="G297" s="126" t="s">
        <v>184</v>
      </c>
      <c r="H297" s="31" t="s">
        <v>1014</v>
      </c>
    </row>
    <row r="298" spans="1:8" ht="14.25" customHeight="1">
      <c r="A298" s="258" t="str">
        <f>B298&amp;C298&amp;D298</f>
        <v>T24CORESTMT_ENTRYCRF_PROD_CAT</v>
      </c>
      <c r="B298" s="258" t="s">
        <v>512</v>
      </c>
      <c r="C298" s="16" t="s">
        <v>643</v>
      </c>
      <c r="D298" s="258" t="s">
        <v>466</v>
      </c>
      <c r="E298" s="13" t="s">
        <v>1015</v>
      </c>
      <c r="F298" s="13" t="s">
        <v>736</v>
      </c>
      <c r="G298" s="126" t="s">
        <v>184</v>
      </c>
      <c r="H298" s="31" t="s">
        <v>1016</v>
      </c>
    </row>
    <row r="299" spans="1:8" ht="14.25" customHeight="1">
      <c r="A299" s="258" t="str">
        <f>B299&amp;C299&amp;D299</f>
        <v>T24CORESTMT_ENTRYCURR_NO</v>
      </c>
      <c r="B299" s="258" t="s">
        <v>512</v>
      </c>
      <c r="C299" s="16" t="s">
        <v>643</v>
      </c>
      <c r="D299" s="258" t="s">
        <v>468</v>
      </c>
      <c r="E299" s="13" t="s">
        <v>1017</v>
      </c>
      <c r="F299" s="13" t="s">
        <v>736</v>
      </c>
      <c r="G299" s="126" t="s">
        <v>184</v>
      </c>
      <c r="H299" s="31" t="s">
        <v>1018</v>
      </c>
    </row>
    <row r="300" spans="1:8" ht="14.25" customHeight="1">
      <c r="A300" s="258" t="str">
        <f>B300&amp;C300&amp;D300</f>
        <v>T24CORESTMT_ENTRYCYCLE_FORWARD</v>
      </c>
      <c r="B300" s="258" t="s">
        <v>512</v>
      </c>
      <c r="C300" s="16" t="s">
        <v>643</v>
      </c>
      <c r="D300" s="258" t="s">
        <v>471</v>
      </c>
      <c r="E300" s="13" t="s">
        <v>1013</v>
      </c>
      <c r="F300" s="13" t="s">
        <v>736</v>
      </c>
      <c r="G300" s="126" t="s">
        <v>184</v>
      </c>
      <c r="H300" s="31" t="s">
        <v>1019</v>
      </c>
    </row>
    <row r="301" spans="1:8" ht="14.25" customHeight="1">
      <c r="A301" s="258" t="str">
        <f>B301&amp;C301&amp;D301</f>
        <v>T24CORESTMT_ENTRYDATE_TIME</v>
      </c>
      <c r="B301" s="258" t="s">
        <v>512</v>
      </c>
      <c r="C301" s="16" t="s">
        <v>643</v>
      </c>
      <c r="D301" s="258" t="s">
        <v>472</v>
      </c>
      <c r="E301" s="13" t="s">
        <v>1020</v>
      </c>
      <c r="F301" s="13" t="s">
        <v>736</v>
      </c>
      <c r="G301" s="126" t="s">
        <v>184</v>
      </c>
      <c r="H301" s="31" t="s">
        <v>1021</v>
      </c>
    </row>
    <row r="302" spans="1:8" ht="14.25" customHeight="1">
      <c r="A302" s="258" t="str">
        <f>B302&amp;C302&amp;D302</f>
        <v>T24CORESTMT_ENTRYDEPARTMENT_CODE</v>
      </c>
      <c r="B302" s="258" t="s">
        <v>512</v>
      </c>
      <c r="C302" s="16" t="s">
        <v>643</v>
      </c>
      <c r="D302" s="258" t="s">
        <v>473</v>
      </c>
      <c r="E302" s="13" t="s">
        <v>1022</v>
      </c>
      <c r="F302" s="13" t="s">
        <v>736</v>
      </c>
      <c r="G302" s="126" t="s">
        <v>184</v>
      </c>
      <c r="H302" s="31" t="s">
        <v>1023</v>
      </c>
    </row>
    <row r="303" spans="1:8" ht="14.25" customHeight="1">
      <c r="A303" s="258" t="str">
        <f>B303&amp;C303&amp;D303</f>
        <v>T24CORESTMT_ENTRYDRAWN_ACCOUNT</v>
      </c>
      <c r="B303" s="258" t="s">
        <v>512</v>
      </c>
      <c r="C303" s="16" t="s">
        <v>643</v>
      </c>
      <c r="D303" s="258" t="s">
        <v>474</v>
      </c>
      <c r="E303" s="13" t="s">
        <v>1024</v>
      </c>
      <c r="F303" s="13" t="s">
        <v>736</v>
      </c>
      <c r="G303" s="126" t="s">
        <v>184</v>
      </c>
      <c r="H303" s="31" t="s">
        <v>1025</v>
      </c>
    </row>
    <row r="304" spans="1:8" ht="14.25" customHeight="1">
      <c r="A304" s="258" t="str">
        <f>B304&amp;C304&amp;D304</f>
        <v>T24CORESTMT_ENTRYINTERNAL_CATEGORY</v>
      </c>
      <c r="B304" s="258" t="s">
        <v>512</v>
      </c>
      <c r="C304" s="16" t="s">
        <v>643</v>
      </c>
      <c r="D304" s="258" t="s">
        <v>476</v>
      </c>
      <c r="E304" s="13" t="s">
        <v>1026</v>
      </c>
      <c r="F304" s="13" t="s">
        <v>736</v>
      </c>
      <c r="G304" s="126" t="s">
        <v>184</v>
      </c>
      <c r="H304" s="31" t="s">
        <v>1027</v>
      </c>
    </row>
    <row r="305" spans="1:8" ht="14.25" customHeight="1">
      <c r="A305" s="258" t="str">
        <f>B305&amp;C305&amp;D305</f>
        <v>T24CORESTMT_ENTRYLOCAL_REF</v>
      </c>
      <c r="B305" s="258" t="s">
        <v>512</v>
      </c>
      <c r="C305" s="16" t="s">
        <v>643</v>
      </c>
      <c r="D305" s="258" t="s">
        <v>477</v>
      </c>
      <c r="E305" s="13" t="s">
        <v>1028</v>
      </c>
      <c r="F305" s="13" t="s">
        <v>736</v>
      </c>
      <c r="G305" s="126" t="s">
        <v>184</v>
      </c>
      <c r="H305" s="31" t="s">
        <v>1029</v>
      </c>
    </row>
    <row r="306" spans="1:8" ht="14.25" customHeight="1">
      <c r="A306" s="258" t="str">
        <f>B306&amp;C306&amp;D306</f>
        <v>T24CORESTMT_ENTRYORIG_AMOUNT_LCY</v>
      </c>
      <c r="B306" s="258" t="s">
        <v>512</v>
      </c>
      <c r="C306" s="16" t="s">
        <v>643</v>
      </c>
      <c r="D306" s="258" t="s">
        <v>479</v>
      </c>
      <c r="E306" s="13" t="s">
        <v>1030</v>
      </c>
      <c r="F306" s="13" t="s">
        <v>736</v>
      </c>
      <c r="G306" s="126" t="s">
        <v>184</v>
      </c>
      <c r="H306" s="31" t="s">
        <v>1031</v>
      </c>
    </row>
    <row r="307" spans="1:8" ht="14.25" customHeight="1">
      <c r="A307" s="258" t="str">
        <f>B307&amp;C307&amp;D307</f>
        <v>T24CORESTMT_ENTRYORIGINAL_ACCT</v>
      </c>
      <c r="B307" s="258" t="s">
        <v>512</v>
      </c>
      <c r="C307" s="16" t="s">
        <v>643</v>
      </c>
      <c r="D307" s="258" t="s">
        <v>480</v>
      </c>
      <c r="E307" s="13" t="s">
        <v>1032</v>
      </c>
      <c r="F307" s="13" t="s">
        <v>736</v>
      </c>
      <c r="G307" s="126" t="s">
        <v>184</v>
      </c>
      <c r="H307" s="31" t="s">
        <v>1033</v>
      </c>
    </row>
    <row r="308" spans="1:8" ht="14.25" customHeight="1">
      <c r="A308" s="258" t="str">
        <f>B308&amp;C308&amp;D308</f>
        <v>T24CORESTMT_ENTRYORIGINAL_AMOUNT</v>
      </c>
      <c r="B308" s="258" t="s">
        <v>512</v>
      </c>
      <c r="C308" s="16" t="s">
        <v>643</v>
      </c>
      <c r="D308" s="258" t="s">
        <v>481</v>
      </c>
      <c r="E308" s="13" t="s">
        <v>1034</v>
      </c>
      <c r="F308" s="13" t="s">
        <v>736</v>
      </c>
      <c r="G308" s="126" t="s">
        <v>184</v>
      </c>
      <c r="H308" s="31" t="s">
        <v>1035</v>
      </c>
    </row>
    <row r="309" spans="1:8" ht="14.25" customHeight="1">
      <c r="A309" s="258" t="str">
        <f>B309&amp;C309&amp;D309</f>
        <v>T24CORESTMT_ENTRYORIGINAL_CCY</v>
      </c>
      <c r="B309" s="258" t="s">
        <v>512</v>
      </c>
      <c r="C309" s="16" t="s">
        <v>643</v>
      </c>
      <c r="D309" s="258" t="s">
        <v>482</v>
      </c>
      <c r="E309" s="13" t="s">
        <v>1036</v>
      </c>
      <c r="F309" s="13" t="s">
        <v>736</v>
      </c>
      <c r="G309" s="126" t="s">
        <v>184</v>
      </c>
      <c r="H309" s="31" t="s">
        <v>1037</v>
      </c>
    </row>
    <row r="310" spans="1:8" ht="14.25" customHeight="1">
      <c r="A310" s="258" t="str">
        <f>B310&amp;C310&amp;D310</f>
        <v>T24CORESTMT_ENTRYORIGINAL_EXCH_RATE</v>
      </c>
      <c r="B310" s="258" t="s">
        <v>512</v>
      </c>
      <c r="C310" s="16" t="s">
        <v>643</v>
      </c>
      <c r="D310" s="258" t="s">
        <v>483</v>
      </c>
      <c r="E310" s="13" t="s">
        <v>1038</v>
      </c>
      <c r="F310" s="13" t="s">
        <v>736</v>
      </c>
      <c r="G310" s="126" t="s">
        <v>184</v>
      </c>
      <c r="H310" s="31" t="s">
        <v>1039</v>
      </c>
    </row>
    <row r="311" spans="1:8" ht="14.25" customHeight="1">
      <c r="A311" s="258" t="str">
        <f>B311&amp;C311&amp;D311</f>
        <v>T24CORESTMT_ENTRYOUTSTANDING_BAL</v>
      </c>
      <c r="B311" s="258" t="s">
        <v>512</v>
      </c>
      <c r="C311" s="16" t="s">
        <v>643</v>
      </c>
      <c r="D311" s="258" t="s">
        <v>485</v>
      </c>
      <c r="E311" s="13" t="s">
        <v>1040</v>
      </c>
      <c r="F311" s="13" t="s">
        <v>736</v>
      </c>
      <c r="G311" s="126" t="s">
        <v>184</v>
      </c>
      <c r="H311" s="31" t="s">
        <v>1041</v>
      </c>
    </row>
    <row r="312" spans="1:8" ht="14.25" customHeight="1">
      <c r="A312" s="258" t="str">
        <f>B312&amp;C312&amp;D312</f>
        <v>T24CORESTMT_ENTRYOVERRIDE</v>
      </c>
      <c r="B312" s="258" t="s">
        <v>512</v>
      </c>
      <c r="C312" s="16" t="s">
        <v>643</v>
      </c>
      <c r="D312" s="258" t="s">
        <v>486</v>
      </c>
      <c r="E312" s="13" t="s">
        <v>1042</v>
      </c>
      <c r="F312" s="13" t="s">
        <v>736</v>
      </c>
      <c r="G312" s="126" t="s">
        <v>184</v>
      </c>
      <c r="H312" s="31" t="s">
        <v>1043</v>
      </c>
    </row>
    <row r="313" spans="1:8" ht="14.25" customHeight="1">
      <c r="A313" s="258" t="str">
        <f>B313&amp;C313&amp;D313</f>
        <v>T24CORESTMT_ENTRYPROCESS_FORWARD</v>
      </c>
      <c r="B313" s="258" t="s">
        <v>512</v>
      </c>
      <c r="C313" s="16" t="s">
        <v>643</v>
      </c>
      <c r="D313" s="258" t="s">
        <v>487</v>
      </c>
      <c r="E313" s="13"/>
      <c r="F313" s="13" t="s">
        <v>736</v>
      </c>
      <c r="G313" s="126" t="s">
        <v>184</v>
      </c>
      <c r="H313" s="31" t="s">
        <v>1044</v>
      </c>
    </row>
    <row r="314" spans="1:8" ht="14.25" customHeight="1">
      <c r="A314" s="258" t="str">
        <f>B314&amp;C314&amp;D314</f>
        <v>T24CORESTMT_ENTRYRECORD_STATUS</v>
      </c>
      <c r="B314" s="258" t="s">
        <v>512</v>
      </c>
      <c r="C314" s="16" t="s">
        <v>643</v>
      </c>
      <c r="D314" s="258" t="s">
        <v>491</v>
      </c>
      <c r="E314" s="13" t="s">
        <v>1045</v>
      </c>
      <c r="F314" s="13" t="s">
        <v>736</v>
      </c>
      <c r="G314" s="126" t="s">
        <v>184</v>
      </c>
      <c r="H314" s="31" t="s">
        <v>1046</v>
      </c>
    </row>
    <row r="315" spans="1:8" ht="14.25" customHeight="1">
      <c r="A315" s="258" t="str">
        <f>B315&amp;C315&amp;D315</f>
        <v>T24CORESTMT_ENTRYREPAYMENT_AMT</v>
      </c>
      <c r="B315" s="258" t="s">
        <v>512</v>
      </c>
      <c r="C315" s="16" t="s">
        <v>643</v>
      </c>
      <c r="D315" s="258" t="s">
        <v>492</v>
      </c>
      <c r="E315" s="13" t="s">
        <v>1047</v>
      </c>
      <c r="F315" s="13" t="s">
        <v>736</v>
      </c>
      <c r="G315" s="126" t="s">
        <v>184</v>
      </c>
      <c r="H315" s="31" t="s">
        <v>1048</v>
      </c>
    </row>
    <row r="316" spans="1:8" ht="14.25" customHeight="1">
      <c r="A316" s="258" t="str">
        <f>B316&amp;C316&amp;D316</f>
        <v>T24CORESTMT_ENTRYREPAYMENT_DATE</v>
      </c>
      <c r="B316" s="258" t="s">
        <v>512</v>
      </c>
      <c r="C316" s="16" t="s">
        <v>643</v>
      </c>
      <c r="D316" s="258" t="s">
        <v>493</v>
      </c>
      <c r="E316" s="13" t="s">
        <v>1049</v>
      </c>
      <c r="F316" s="13" t="s">
        <v>736</v>
      </c>
      <c r="G316" s="126" t="s">
        <v>184</v>
      </c>
      <c r="H316" s="31" t="s">
        <v>1050</v>
      </c>
    </row>
    <row r="317" spans="1:8" ht="14.25" customHeight="1">
      <c r="A317" s="258" t="str">
        <f>B317&amp;C317&amp;D317</f>
        <v>T24CORESTMT_ENTRYREPAYMENT_TYPE</v>
      </c>
      <c r="B317" s="258" t="s">
        <v>512</v>
      </c>
      <c r="C317" s="16" t="s">
        <v>643</v>
      </c>
      <c r="D317" s="258" t="s">
        <v>494</v>
      </c>
      <c r="E317" s="13" t="s">
        <v>1051</v>
      </c>
      <c r="F317" s="13" t="s">
        <v>736</v>
      </c>
      <c r="G317" s="126" t="s">
        <v>184</v>
      </c>
      <c r="H317" s="31" t="s">
        <v>1052</v>
      </c>
    </row>
    <row r="318" spans="1:8" ht="14.25" customHeight="1">
      <c r="A318" s="258" t="str">
        <f>B318&amp;C318&amp;D318</f>
        <v>T24CORESTMT_ENTRYSUSPENSE_CATEGORY</v>
      </c>
      <c r="B318" s="258" t="s">
        <v>512</v>
      </c>
      <c r="C318" s="16" t="s">
        <v>643</v>
      </c>
      <c r="D318" s="258" t="s">
        <v>497</v>
      </c>
      <c r="E318" s="13" t="s">
        <v>1053</v>
      </c>
      <c r="F318" s="13" t="s">
        <v>736</v>
      </c>
      <c r="G318" s="126" t="s">
        <v>184</v>
      </c>
      <c r="H318" s="31" t="s">
        <v>1054</v>
      </c>
    </row>
    <row r="319" spans="1:8" ht="14.25" customHeight="1">
      <c r="A319" s="258" t="str">
        <f>B319&amp;C319&amp;D319</f>
        <v>T24CORESTMT_ENTRYSUSPNSE_VALUE_DATE</v>
      </c>
      <c r="B319" s="258" t="s">
        <v>512</v>
      </c>
      <c r="C319" s="16" t="s">
        <v>643</v>
      </c>
      <c r="D319" s="258" t="s">
        <v>498</v>
      </c>
      <c r="E319" s="13" t="s">
        <v>1055</v>
      </c>
      <c r="F319" s="13" t="s">
        <v>736</v>
      </c>
      <c r="G319" s="126" t="s">
        <v>184</v>
      </c>
      <c r="H319" s="31" t="s">
        <v>1056</v>
      </c>
    </row>
    <row r="320" spans="1:8" ht="14.25" customHeight="1">
      <c r="E320" s="18"/>
    </row>
    <row r="321" spans="5:5" ht="14.25" customHeight="1">
      <c r="E321" s="18"/>
    </row>
    <row r="322" spans="5:5" ht="14.25" customHeight="1">
      <c r="E322" s="18"/>
    </row>
    <row r="323" spans="5:5" ht="14.25" customHeight="1">
      <c r="E323" s="18"/>
    </row>
    <row r="324" spans="5:5" ht="14.25" customHeight="1">
      <c r="E324" s="18"/>
    </row>
    <row r="325" spans="5:5" ht="14.25" customHeight="1">
      <c r="E325" s="18"/>
    </row>
    <row r="326" spans="5:5" ht="14.25" customHeight="1">
      <c r="E326" s="18"/>
    </row>
    <row r="327" spans="5:5" ht="14.25" customHeight="1">
      <c r="E327" s="18"/>
    </row>
    <row r="328" spans="5:5" ht="14.25" customHeight="1">
      <c r="E328" s="18"/>
    </row>
    <row r="329" spans="5:5" ht="14.25" customHeight="1">
      <c r="E329" s="18"/>
    </row>
    <row r="330" spans="5:5" ht="14.25" customHeight="1">
      <c r="E330" s="18"/>
    </row>
    <row r="331" spans="5:5" ht="14.25" customHeight="1">
      <c r="E331" s="18"/>
    </row>
    <row r="332" spans="5:5" ht="14.25" customHeight="1">
      <c r="E332" s="18"/>
    </row>
    <row r="333" spans="5:5" ht="14.25" customHeight="1">
      <c r="E333" s="18"/>
    </row>
    <row r="334" spans="5:5" ht="14.25" customHeight="1">
      <c r="E334" s="18"/>
    </row>
    <row r="335" spans="5:5" ht="14.25" customHeight="1">
      <c r="E335" s="18"/>
    </row>
    <row r="336" spans="5:5" ht="14.25" customHeight="1">
      <c r="E336" s="18"/>
    </row>
    <row r="337" spans="5:5" ht="14.25" customHeight="1">
      <c r="E337" s="18"/>
    </row>
    <row r="338" spans="5:5" ht="14.25" customHeight="1">
      <c r="E338" s="18"/>
    </row>
    <row r="339" spans="5:5" ht="14.25" customHeight="1">
      <c r="E339" s="18"/>
    </row>
    <row r="340" spans="5:5" ht="14.25" customHeight="1">
      <c r="E340" s="18"/>
    </row>
    <row r="341" spans="5:5" ht="14.25" customHeight="1">
      <c r="E341" s="18"/>
    </row>
    <row r="342" spans="5:5" ht="14.25" customHeight="1">
      <c r="E342" s="18"/>
    </row>
    <row r="343" spans="5:5" ht="14.25" customHeight="1">
      <c r="E343" s="18"/>
    </row>
    <row r="344" spans="5:5" ht="14.25" customHeight="1">
      <c r="E344" s="18"/>
    </row>
    <row r="345" spans="5:5" ht="14.25" customHeight="1">
      <c r="E345" s="18"/>
    </row>
    <row r="346" spans="5:5" ht="14.25" customHeight="1">
      <c r="E346" s="18"/>
    </row>
    <row r="347" spans="5:5" ht="14.25" customHeight="1">
      <c r="E347" s="18"/>
    </row>
    <row r="348" spans="5:5" ht="14.25" customHeight="1">
      <c r="E348" s="18"/>
    </row>
    <row r="349" spans="5:5" ht="14.25" customHeight="1">
      <c r="E349" s="18"/>
    </row>
    <row r="350" spans="5:5" ht="14.25" customHeight="1">
      <c r="E350" s="18"/>
    </row>
    <row r="351" spans="5:5" ht="14.25" customHeight="1">
      <c r="E351" s="18"/>
    </row>
    <row r="352" spans="5:5" ht="14.25" customHeight="1">
      <c r="E352" s="18"/>
    </row>
    <row r="353" spans="5:5" ht="14.25" customHeight="1">
      <c r="E353" s="18"/>
    </row>
    <row r="354" spans="5:5" ht="14.25" customHeight="1">
      <c r="E354" s="18"/>
    </row>
    <row r="355" spans="5:5" ht="14.25" customHeight="1">
      <c r="E355" s="18"/>
    </row>
    <row r="356" spans="5:5" ht="14.25" customHeight="1">
      <c r="E356" s="18"/>
    </row>
    <row r="357" spans="5:5" ht="14.25" customHeight="1">
      <c r="E357" s="18"/>
    </row>
    <row r="358" spans="5:5" ht="14.25" customHeight="1">
      <c r="E358" s="18"/>
    </row>
    <row r="359" spans="5:5" ht="14.25" customHeight="1">
      <c r="E359" s="18"/>
    </row>
    <row r="360" spans="5:5" ht="14.25" customHeight="1">
      <c r="E360" s="18"/>
    </row>
    <row r="361" spans="5:5" ht="14.25" customHeight="1">
      <c r="E361" s="18"/>
    </row>
    <row r="362" spans="5:5" ht="14.25" customHeight="1">
      <c r="E362" s="18"/>
    </row>
    <row r="363" spans="5:5" ht="14.25" customHeight="1">
      <c r="E363" s="18"/>
    </row>
    <row r="364" spans="5:5" ht="14.25" customHeight="1">
      <c r="E364" s="18"/>
    </row>
    <row r="365" spans="5:5" ht="14.25" customHeight="1">
      <c r="E365" s="18"/>
    </row>
    <row r="366" spans="5:5" ht="14.25" customHeight="1">
      <c r="E366" s="18"/>
    </row>
    <row r="367" spans="5:5" ht="14.25" customHeight="1">
      <c r="E367" s="18"/>
    </row>
    <row r="368" spans="5:5" ht="14.25" customHeight="1">
      <c r="E368" s="18"/>
    </row>
    <row r="369" spans="5:5" ht="14.25" customHeight="1">
      <c r="E369" s="18"/>
    </row>
    <row r="370" spans="5:5" ht="14.25" customHeight="1">
      <c r="E370" s="18"/>
    </row>
    <row r="371" spans="5:5" ht="14.25" customHeight="1">
      <c r="E371" s="18"/>
    </row>
    <row r="372" spans="5:5" ht="14.25" customHeight="1">
      <c r="E372" s="18"/>
    </row>
    <row r="373" spans="5:5" ht="14.25" customHeight="1">
      <c r="E373" s="18"/>
    </row>
    <row r="374" spans="5:5" ht="14.25" customHeight="1">
      <c r="E374" s="18"/>
    </row>
    <row r="375" spans="5:5" ht="14.25" customHeight="1">
      <c r="E375" s="18"/>
    </row>
    <row r="376" spans="5:5" ht="14.25" customHeight="1">
      <c r="E376" s="18"/>
    </row>
    <row r="377" spans="5:5" ht="14.25" customHeight="1">
      <c r="E377" s="18"/>
    </row>
    <row r="378" spans="5:5" ht="14.25" customHeight="1">
      <c r="E378" s="18"/>
    </row>
    <row r="379" spans="5:5" ht="14.25" customHeight="1">
      <c r="E379" s="18"/>
    </row>
    <row r="380" spans="5:5" ht="14.25" customHeight="1">
      <c r="E380" s="18"/>
    </row>
    <row r="381" spans="5:5" ht="14.25" customHeight="1">
      <c r="E381" s="18"/>
    </row>
    <row r="382" spans="5:5" ht="14.25" customHeight="1">
      <c r="E382" s="18"/>
    </row>
    <row r="383" spans="5:5" ht="14.25" customHeight="1">
      <c r="E383" s="18"/>
    </row>
    <row r="384" spans="5:5" ht="14.25" customHeight="1">
      <c r="E384" s="18"/>
    </row>
    <row r="385" spans="5:5" ht="14.25" customHeight="1">
      <c r="E385" s="18"/>
    </row>
    <row r="386" spans="5:5" ht="14.25" customHeight="1">
      <c r="E386" s="18"/>
    </row>
    <row r="387" spans="5:5" ht="14.25" customHeight="1">
      <c r="E387" s="18"/>
    </row>
    <row r="388" spans="5:5" ht="14.25" customHeight="1">
      <c r="E388" s="18"/>
    </row>
    <row r="389" spans="5:5" ht="14.25" customHeight="1">
      <c r="E389" s="18"/>
    </row>
    <row r="390" spans="5:5" ht="14.25" customHeight="1">
      <c r="E390" s="18"/>
    </row>
    <row r="391" spans="5:5" ht="14.25" customHeight="1">
      <c r="E391" s="18"/>
    </row>
    <row r="392" spans="5:5" ht="14.25" customHeight="1">
      <c r="E392" s="18"/>
    </row>
    <row r="393" spans="5:5" ht="14.25" customHeight="1">
      <c r="E393" s="18"/>
    </row>
    <row r="394" spans="5:5" ht="14.25" customHeight="1">
      <c r="E394" s="18"/>
    </row>
    <row r="395" spans="5:5" ht="14.25" customHeight="1">
      <c r="E395" s="18"/>
    </row>
    <row r="396" spans="5:5" ht="14.25" customHeight="1">
      <c r="E396" s="18"/>
    </row>
    <row r="397" spans="5:5" ht="14.25" customHeight="1">
      <c r="E397" s="18"/>
    </row>
    <row r="398" spans="5:5" ht="14.25" customHeight="1">
      <c r="E398" s="18"/>
    </row>
    <row r="399" spans="5:5" ht="14.25" customHeight="1">
      <c r="E399" s="18"/>
    </row>
    <row r="400" spans="5:5" ht="14.25" customHeight="1">
      <c r="E400" s="18"/>
    </row>
    <row r="401" spans="5:5" ht="14.25" customHeight="1">
      <c r="E401" s="18"/>
    </row>
    <row r="402" spans="5:5" ht="14.25" customHeight="1">
      <c r="E402" s="18"/>
    </row>
    <row r="403" spans="5:5" ht="14.25" customHeight="1">
      <c r="E403" s="18"/>
    </row>
    <row r="404" spans="5:5" ht="14.25" customHeight="1">
      <c r="E404" s="18"/>
    </row>
    <row r="405" spans="5:5" ht="14.25" customHeight="1">
      <c r="E405" s="18"/>
    </row>
    <row r="406" spans="5:5" ht="14.25" customHeight="1">
      <c r="E406" s="18"/>
    </row>
    <row r="407" spans="5:5" ht="14.25" customHeight="1">
      <c r="E407" s="18"/>
    </row>
    <row r="408" spans="5:5" ht="14.25" customHeight="1">
      <c r="E408" s="18"/>
    </row>
    <row r="409" spans="5:5" ht="14.25" customHeight="1">
      <c r="E409" s="18"/>
    </row>
    <row r="410" spans="5:5" ht="14.25" customHeight="1">
      <c r="E410" s="18"/>
    </row>
    <row r="411" spans="5:5" ht="14.25" customHeight="1">
      <c r="E411" s="18"/>
    </row>
    <row r="412" spans="5:5" ht="14.25" customHeight="1">
      <c r="E412" s="18"/>
    </row>
    <row r="413" spans="5:5" ht="14.25" customHeight="1">
      <c r="E413" s="18"/>
    </row>
    <row r="414" spans="5:5" ht="14.25" customHeight="1">
      <c r="E414" s="18"/>
    </row>
    <row r="415" spans="5:5" ht="14.25" customHeight="1">
      <c r="E415" s="18"/>
    </row>
    <row r="416" spans="5:5" ht="14.25" customHeight="1">
      <c r="E416" s="18"/>
    </row>
    <row r="417" spans="5:5" ht="14.25" customHeight="1">
      <c r="E417" s="18"/>
    </row>
    <row r="418" spans="5:5" ht="14.25" customHeight="1">
      <c r="E418" s="18"/>
    </row>
    <row r="419" spans="5:5" ht="14.25" customHeight="1">
      <c r="E419" s="18"/>
    </row>
    <row r="420" spans="5:5" ht="14.25" customHeight="1">
      <c r="E420" s="18"/>
    </row>
    <row r="421" spans="5:5" ht="14.25" customHeight="1">
      <c r="E421" s="18"/>
    </row>
    <row r="422" spans="5:5" ht="14.25" customHeight="1">
      <c r="E422" s="18"/>
    </row>
    <row r="423" spans="5:5" ht="14.25" customHeight="1">
      <c r="E423" s="18"/>
    </row>
    <row r="424" spans="5:5" ht="14.25" customHeight="1">
      <c r="E424" s="18"/>
    </row>
    <row r="425" spans="5:5" ht="14.25" customHeight="1">
      <c r="E425" s="18"/>
    </row>
    <row r="426" spans="5:5" ht="14.25" customHeight="1">
      <c r="E426" s="18"/>
    </row>
    <row r="427" spans="5:5" ht="14.25" customHeight="1">
      <c r="E427" s="18"/>
    </row>
    <row r="428" spans="5:5" ht="14.25" customHeight="1">
      <c r="E428" s="18"/>
    </row>
    <row r="429" spans="5:5" ht="14.25" customHeight="1">
      <c r="E429" s="18"/>
    </row>
    <row r="430" spans="5:5" ht="14.25" customHeight="1">
      <c r="E430" s="18"/>
    </row>
    <row r="431" spans="5:5" ht="14.25" customHeight="1">
      <c r="E431" s="18"/>
    </row>
    <row r="432" spans="5:5" ht="14.25" customHeight="1">
      <c r="E432" s="18"/>
    </row>
    <row r="433" spans="5:5" ht="14.25" customHeight="1">
      <c r="E433" s="18"/>
    </row>
    <row r="434" spans="5:5" ht="14.25" customHeight="1">
      <c r="E434" s="18"/>
    </row>
    <row r="435" spans="5:5" ht="14.25" customHeight="1">
      <c r="E435" s="18"/>
    </row>
    <row r="436" spans="5:5" ht="14.25" customHeight="1">
      <c r="E436" s="18"/>
    </row>
    <row r="437" spans="5:5" ht="14.25" customHeight="1">
      <c r="E437" s="18"/>
    </row>
    <row r="438" spans="5:5" ht="14.25" customHeight="1">
      <c r="E438" s="18"/>
    </row>
    <row r="439" spans="5:5" ht="14.25" customHeight="1">
      <c r="E439" s="18"/>
    </row>
    <row r="440" spans="5:5" ht="14.25" customHeight="1">
      <c r="E440" s="18"/>
    </row>
    <row r="441" spans="5:5" ht="14.25" customHeight="1">
      <c r="E441" s="18"/>
    </row>
    <row r="442" spans="5:5" ht="14.25" customHeight="1">
      <c r="E442" s="18"/>
    </row>
    <row r="443" spans="5:5" ht="14.25" customHeight="1">
      <c r="E443" s="18"/>
    </row>
    <row r="444" spans="5:5" ht="14.25" customHeight="1">
      <c r="E444" s="18"/>
    </row>
    <row r="445" spans="5:5" ht="14.25" customHeight="1">
      <c r="E445" s="18"/>
    </row>
    <row r="446" spans="5:5" ht="14.25" customHeight="1">
      <c r="E446" s="18"/>
    </row>
    <row r="447" spans="5:5" ht="14.25" customHeight="1">
      <c r="E447" s="18"/>
    </row>
    <row r="448" spans="5:5" ht="14.25" customHeight="1">
      <c r="E448" s="18"/>
    </row>
    <row r="449" spans="5:5" ht="14.25" customHeight="1">
      <c r="E449" s="18"/>
    </row>
    <row r="450" spans="5:5" ht="14.25" customHeight="1">
      <c r="E450" s="18"/>
    </row>
    <row r="451" spans="5:5" ht="14.25" customHeight="1">
      <c r="E451" s="18"/>
    </row>
    <row r="452" spans="5:5" ht="14.25" customHeight="1">
      <c r="E452" s="18"/>
    </row>
    <row r="453" spans="5:5" ht="14.25" customHeight="1">
      <c r="E453" s="18"/>
    </row>
    <row r="454" spans="5:5" ht="14.25" customHeight="1">
      <c r="E454" s="18"/>
    </row>
    <row r="455" spans="5:5" ht="14.25" customHeight="1">
      <c r="E455" s="18"/>
    </row>
    <row r="456" spans="5:5" ht="14.25" customHeight="1">
      <c r="E456" s="18"/>
    </row>
    <row r="457" spans="5:5" ht="14.25" customHeight="1">
      <c r="E457" s="18"/>
    </row>
    <row r="458" spans="5:5" ht="14.25" customHeight="1">
      <c r="E458" s="18"/>
    </row>
    <row r="459" spans="5:5" ht="14.25" customHeight="1">
      <c r="E459" s="18"/>
    </row>
    <row r="460" spans="5:5" ht="14.25" customHeight="1">
      <c r="E460" s="18"/>
    </row>
    <row r="461" spans="5:5" ht="14.25" customHeight="1">
      <c r="E461" s="18"/>
    </row>
    <row r="462" spans="5:5" ht="14.25" customHeight="1">
      <c r="E462" s="18"/>
    </row>
    <row r="463" spans="5:5" ht="14.25" customHeight="1">
      <c r="E463" s="18"/>
    </row>
    <row r="464" spans="5:5" ht="14.25" customHeight="1">
      <c r="E464" s="18"/>
    </row>
    <row r="465" spans="5:5" ht="14.25" customHeight="1">
      <c r="E465" s="18"/>
    </row>
    <row r="466" spans="5:5" ht="14.25" customHeight="1">
      <c r="E466" s="18"/>
    </row>
    <row r="467" spans="5:5" ht="14.25" customHeight="1">
      <c r="E467" s="18"/>
    </row>
    <row r="468" spans="5:5" ht="14.25" customHeight="1">
      <c r="E468" s="18"/>
    </row>
    <row r="469" spans="5:5" ht="14.25" customHeight="1">
      <c r="E469" s="18"/>
    </row>
    <row r="470" spans="5:5" ht="14.25" customHeight="1">
      <c r="E470" s="18"/>
    </row>
    <row r="471" spans="5:5" ht="14.25" customHeight="1">
      <c r="E471" s="18"/>
    </row>
    <row r="472" spans="5:5" ht="14.25" customHeight="1">
      <c r="E472" s="18"/>
    </row>
    <row r="473" spans="5:5" ht="14.25" customHeight="1">
      <c r="E473" s="18"/>
    </row>
    <row r="474" spans="5:5" ht="14.25" customHeight="1">
      <c r="E474" s="18"/>
    </row>
    <row r="475" spans="5:5" ht="14.25" customHeight="1">
      <c r="E475" s="18"/>
    </row>
    <row r="476" spans="5:5" ht="14.25" customHeight="1">
      <c r="E476" s="18"/>
    </row>
    <row r="477" spans="5:5" ht="14.25" customHeight="1">
      <c r="E477" s="18"/>
    </row>
    <row r="478" spans="5:5" ht="14.25" customHeight="1">
      <c r="E478" s="18"/>
    </row>
    <row r="479" spans="5:5" ht="14.25" customHeight="1">
      <c r="E479" s="18"/>
    </row>
    <row r="480" spans="5:5" ht="14.25" customHeight="1">
      <c r="E480" s="18"/>
    </row>
    <row r="481" spans="5:5" ht="14.25" customHeight="1">
      <c r="E481" s="18"/>
    </row>
    <row r="482" spans="5:5" ht="14.25" customHeight="1">
      <c r="E482" s="18"/>
    </row>
    <row r="483" spans="5:5" ht="14.25" customHeight="1">
      <c r="E483" s="18"/>
    </row>
    <row r="484" spans="5:5" ht="14.25" customHeight="1">
      <c r="E484" s="18"/>
    </row>
    <row r="485" spans="5:5" ht="14.25" customHeight="1">
      <c r="E485" s="18"/>
    </row>
    <row r="486" spans="5:5" ht="14.25" customHeight="1">
      <c r="E486" s="18"/>
    </row>
    <row r="487" spans="5:5" ht="14.25" customHeight="1">
      <c r="E487" s="18"/>
    </row>
    <row r="488" spans="5:5" ht="14.25" customHeight="1">
      <c r="E488" s="18"/>
    </row>
    <row r="489" spans="5:5" ht="14.25" customHeight="1">
      <c r="E489" s="18"/>
    </row>
    <row r="490" spans="5:5" ht="14.25" customHeight="1">
      <c r="E490" s="18"/>
    </row>
    <row r="491" spans="5:5" ht="14.25" customHeight="1">
      <c r="E491" s="18"/>
    </row>
    <row r="492" spans="5:5" ht="14.25" customHeight="1">
      <c r="E492" s="18"/>
    </row>
    <row r="493" spans="5:5" ht="14.25" customHeight="1">
      <c r="E493" s="18"/>
    </row>
    <row r="494" spans="5:5" ht="14.25" customHeight="1">
      <c r="E494" s="18"/>
    </row>
    <row r="495" spans="5:5" ht="14.25" customHeight="1">
      <c r="E495" s="18"/>
    </row>
    <row r="496" spans="5:5" ht="14.25" customHeight="1">
      <c r="E496" s="18"/>
    </row>
    <row r="497" spans="5:5" ht="14.25" customHeight="1">
      <c r="E497" s="18"/>
    </row>
    <row r="498" spans="5:5" ht="14.25" customHeight="1">
      <c r="E498" s="18"/>
    </row>
    <row r="499" spans="5:5" ht="14.25" customHeight="1">
      <c r="E499" s="18"/>
    </row>
    <row r="500" spans="5:5" ht="14.25" customHeight="1">
      <c r="E500" s="18"/>
    </row>
    <row r="501" spans="5:5" ht="14.25" customHeight="1">
      <c r="E501" s="18"/>
    </row>
    <row r="502" spans="5:5" ht="14.25" customHeight="1">
      <c r="E502" s="18"/>
    </row>
    <row r="503" spans="5:5" ht="14.25" customHeight="1">
      <c r="E503" s="18"/>
    </row>
    <row r="504" spans="5:5" ht="14.25" customHeight="1">
      <c r="E504" s="18"/>
    </row>
    <row r="505" spans="5:5" ht="14.25" customHeight="1">
      <c r="E505" s="18"/>
    </row>
    <row r="506" spans="5:5" ht="14.25" customHeight="1">
      <c r="E506" s="18"/>
    </row>
    <row r="507" spans="5:5" ht="14.25" customHeight="1">
      <c r="E507" s="18"/>
    </row>
    <row r="508" spans="5:5" ht="14.25" customHeight="1">
      <c r="E508" s="18"/>
    </row>
    <row r="509" spans="5:5" ht="14.25" customHeight="1">
      <c r="E509" s="18"/>
    </row>
    <row r="510" spans="5:5" ht="14.25" customHeight="1">
      <c r="E510" s="18"/>
    </row>
    <row r="511" spans="5:5" ht="14.25" customHeight="1">
      <c r="E511" s="18"/>
    </row>
    <row r="512" spans="5:5" ht="14.25" customHeight="1">
      <c r="E512" s="18"/>
    </row>
    <row r="513" spans="5:5" ht="14.25" customHeight="1">
      <c r="E513" s="18"/>
    </row>
    <row r="514" spans="5:5" ht="14.25" customHeight="1">
      <c r="E514" s="18"/>
    </row>
    <row r="515" spans="5:5" ht="14.25" customHeight="1">
      <c r="E515" s="18"/>
    </row>
    <row r="516" spans="5:5" ht="14.25" customHeight="1">
      <c r="E516" s="18"/>
    </row>
    <row r="517" spans="5:5" ht="14.25" customHeight="1">
      <c r="E517" s="18"/>
    </row>
    <row r="518" spans="5:5" ht="14.25" customHeight="1">
      <c r="E518" s="18"/>
    </row>
    <row r="519" spans="5:5" ht="14.25" customHeight="1">
      <c r="E519" s="18"/>
    </row>
    <row r="520" spans="5:5" ht="14.25" customHeight="1">
      <c r="E520" s="18"/>
    </row>
    <row r="521" spans="5:5" ht="14.25" customHeight="1">
      <c r="E521" s="18"/>
    </row>
    <row r="522" spans="5:5" ht="14.25" customHeight="1">
      <c r="E522" s="18"/>
    </row>
    <row r="523" spans="5:5" ht="14.25" customHeight="1">
      <c r="E523" s="18"/>
    </row>
    <row r="524" spans="5:5" ht="14.25" customHeight="1">
      <c r="E524" s="18"/>
    </row>
    <row r="525" spans="5:5" ht="14.25" customHeight="1">
      <c r="E525" s="18"/>
    </row>
    <row r="526" spans="5:5" ht="14.25" customHeight="1">
      <c r="E526" s="18"/>
    </row>
    <row r="527" spans="5:5" ht="14.25" customHeight="1">
      <c r="E527" s="18"/>
    </row>
    <row r="528" spans="5:5" ht="14.25" customHeight="1">
      <c r="E528" s="18"/>
    </row>
    <row r="529" spans="5:5" ht="14.25" customHeight="1">
      <c r="E529" s="18"/>
    </row>
    <row r="530" spans="5:5" ht="14.25" customHeight="1">
      <c r="E530" s="18"/>
    </row>
    <row r="531" spans="5:5" ht="14.25" customHeight="1">
      <c r="E531" s="18"/>
    </row>
    <row r="532" spans="5:5" ht="14.25" customHeight="1">
      <c r="E532" s="18"/>
    </row>
    <row r="533" spans="5:5" ht="14.25" customHeight="1">
      <c r="E533" s="18"/>
    </row>
    <row r="534" spans="5:5" ht="14.25" customHeight="1">
      <c r="E534" s="18"/>
    </row>
    <row r="535" spans="5:5" ht="14.25" customHeight="1">
      <c r="E535" s="18"/>
    </row>
    <row r="536" spans="5:5" ht="14.25" customHeight="1">
      <c r="E536" s="18"/>
    </row>
    <row r="537" spans="5:5" ht="14.25" customHeight="1">
      <c r="E537" s="18"/>
    </row>
    <row r="538" spans="5:5" ht="14.25" customHeight="1">
      <c r="E538" s="18"/>
    </row>
    <row r="539" spans="5:5" ht="14.25" customHeight="1">
      <c r="E539" s="18"/>
    </row>
    <row r="540" spans="5:5" ht="14.25" customHeight="1">
      <c r="E540" s="18"/>
    </row>
    <row r="541" spans="5:5" ht="14.25" customHeight="1">
      <c r="E541" s="18"/>
    </row>
    <row r="542" spans="5:5" ht="14.25" customHeight="1">
      <c r="E542" s="18"/>
    </row>
    <row r="543" spans="5:5" ht="14.25" customHeight="1">
      <c r="E543" s="18"/>
    </row>
    <row r="544" spans="5:5" ht="14.25" customHeight="1">
      <c r="E544" s="18"/>
    </row>
    <row r="545" spans="5:5" ht="14.25" customHeight="1">
      <c r="E545" s="18"/>
    </row>
    <row r="546" spans="5:5" ht="14.25" customHeight="1">
      <c r="E546" s="18"/>
    </row>
    <row r="547" spans="5:5" ht="14.25" customHeight="1">
      <c r="E547" s="18"/>
    </row>
    <row r="548" spans="5:5" ht="14.25" customHeight="1">
      <c r="E548" s="18"/>
    </row>
    <row r="549" spans="5:5" ht="14.25" customHeight="1">
      <c r="E549" s="18"/>
    </row>
    <row r="550" spans="5:5" ht="14.25" customHeight="1">
      <c r="E550" s="18"/>
    </row>
    <row r="551" spans="5:5" ht="14.25" customHeight="1">
      <c r="E551" s="18"/>
    </row>
    <row r="552" spans="5:5" ht="14.25" customHeight="1">
      <c r="E552" s="18"/>
    </row>
    <row r="553" spans="5:5" ht="14.25" customHeight="1">
      <c r="E553" s="18"/>
    </row>
    <row r="554" spans="5:5" ht="14.25" customHeight="1">
      <c r="E554" s="18"/>
    </row>
    <row r="555" spans="5:5" ht="14.25" customHeight="1">
      <c r="E555" s="18"/>
    </row>
    <row r="556" spans="5:5" ht="14.25" customHeight="1">
      <c r="E556" s="18"/>
    </row>
    <row r="557" spans="5:5" ht="14.25" customHeight="1">
      <c r="E557" s="18"/>
    </row>
    <row r="558" spans="5:5" ht="14.25" customHeight="1">
      <c r="E558" s="18"/>
    </row>
    <row r="559" spans="5:5" ht="14.25" customHeight="1">
      <c r="E559" s="18"/>
    </row>
    <row r="560" spans="5:5" ht="14.25" customHeight="1">
      <c r="E560" s="18"/>
    </row>
    <row r="561" spans="5:5" ht="14.25" customHeight="1">
      <c r="E561" s="18"/>
    </row>
    <row r="562" spans="5:5" ht="14.25" customHeight="1">
      <c r="E562" s="18"/>
    </row>
    <row r="563" spans="5:5" ht="14.25" customHeight="1">
      <c r="E563" s="18"/>
    </row>
    <row r="564" spans="5:5" ht="14.25" customHeight="1">
      <c r="E564" s="18"/>
    </row>
    <row r="565" spans="5:5" ht="14.25" customHeight="1">
      <c r="E565" s="18"/>
    </row>
    <row r="566" spans="5:5" ht="14.25" customHeight="1">
      <c r="E566" s="18"/>
    </row>
    <row r="567" spans="5:5" ht="14.25" customHeight="1">
      <c r="E567" s="18"/>
    </row>
    <row r="568" spans="5:5" ht="14.25" customHeight="1">
      <c r="E568" s="18"/>
    </row>
    <row r="569" spans="5:5" ht="14.25" customHeight="1">
      <c r="E569" s="18"/>
    </row>
    <row r="570" spans="5:5" ht="14.25" customHeight="1">
      <c r="E570" s="18"/>
    </row>
    <row r="571" spans="5:5" ht="14.25" customHeight="1">
      <c r="E571" s="18"/>
    </row>
    <row r="572" spans="5:5" ht="14.25" customHeight="1">
      <c r="E572" s="18"/>
    </row>
    <row r="573" spans="5:5" ht="14.25" customHeight="1">
      <c r="E573" s="18"/>
    </row>
    <row r="574" spans="5:5" ht="14.25" customHeight="1">
      <c r="E574" s="18"/>
    </row>
    <row r="575" spans="5:5" ht="14.25" customHeight="1">
      <c r="E575" s="18"/>
    </row>
    <row r="576" spans="5:5" ht="14.25" customHeight="1">
      <c r="E576" s="18"/>
    </row>
    <row r="577" spans="5:5" ht="14.25" customHeight="1">
      <c r="E577" s="18"/>
    </row>
    <row r="578" spans="5:5" ht="14.25" customHeight="1">
      <c r="E578" s="18"/>
    </row>
    <row r="579" spans="5:5" ht="14.25" customHeight="1">
      <c r="E579" s="18"/>
    </row>
    <row r="580" spans="5:5" ht="14.25" customHeight="1">
      <c r="E580" s="18"/>
    </row>
    <row r="581" spans="5:5" ht="14.25" customHeight="1">
      <c r="E581" s="18"/>
    </row>
    <row r="582" spans="5:5" ht="14.25" customHeight="1">
      <c r="E582" s="18"/>
    </row>
    <row r="583" spans="5:5" ht="14.25" customHeight="1">
      <c r="E583" s="18"/>
    </row>
    <row r="584" spans="5:5" ht="14.25" customHeight="1">
      <c r="E584" s="18"/>
    </row>
    <row r="585" spans="5:5" ht="14.25" customHeight="1">
      <c r="E585" s="18"/>
    </row>
    <row r="586" spans="5:5" ht="14.25" customHeight="1">
      <c r="E586" s="18"/>
    </row>
    <row r="587" spans="5:5" ht="14.25" customHeight="1">
      <c r="E587" s="18"/>
    </row>
    <row r="588" spans="5:5" ht="14.25" customHeight="1">
      <c r="E588" s="18"/>
    </row>
    <row r="589" spans="5:5" ht="14.25" customHeight="1">
      <c r="E589" s="18"/>
    </row>
    <row r="590" spans="5:5" ht="14.25" customHeight="1">
      <c r="E590" s="18"/>
    </row>
    <row r="591" spans="5:5" ht="14.25" customHeight="1">
      <c r="E591" s="18"/>
    </row>
    <row r="592" spans="5:5" ht="14.25" customHeight="1">
      <c r="E592" s="18"/>
    </row>
    <row r="593" spans="5:5" ht="14.25" customHeight="1">
      <c r="E593" s="18"/>
    </row>
    <row r="594" spans="5:5" ht="14.25" customHeight="1">
      <c r="E594" s="18"/>
    </row>
    <row r="595" spans="5:5" ht="14.25" customHeight="1">
      <c r="E595" s="18"/>
    </row>
    <row r="596" spans="5:5" ht="14.25" customHeight="1">
      <c r="E596" s="18"/>
    </row>
    <row r="597" spans="5:5" ht="14.25" customHeight="1">
      <c r="E597" s="18"/>
    </row>
    <row r="598" spans="5:5" ht="14.25" customHeight="1">
      <c r="E598" s="18"/>
    </row>
    <row r="599" spans="5:5" ht="14.25" customHeight="1">
      <c r="E599" s="18"/>
    </row>
    <row r="600" spans="5:5" ht="14.25" customHeight="1">
      <c r="E600" s="18"/>
    </row>
    <row r="601" spans="5:5" ht="14.25" customHeight="1">
      <c r="E601" s="18"/>
    </row>
    <row r="602" spans="5:5" ht="14.25" customHeight="1">
      <c r="E602" s="18"/>
    </row>
    <row r="603" spans="5:5" ht="14.25" customHeight="1">
      <c r="E603" s="18"/>
    </row>
    <row r="604" spans="5:5" ht="14.25" customHeight="1">
      <c r="E604" s="18"/>
    </row>
    <row r="605" spans="5:5" ht="14.25" customHeight="1">
      <c r="E605" s="18"/>
    </row>
    <row r="606" spans="5:5" ht="14.25" customHeight="1">
      <c r="E606" s="18"/>
    </row>
    <row r="607" spans="5:5" ht="14.25" customHeight="1">
      <c r="E607" s="18"/>
    </row>
    <row r="608" spans="5:5" ht="14.25" customHeight="1">
      <c r="E608" s="18"/>
    </row>
    <row r="609" spans="5:5" ht="14.25" customHeight="1">
      <c r="E609" s="18"/>
    </row>
    <row r="610" spans="5:5" ht="14.25" customHeight="1">
      <c r="E610" s="18"/>
    </row>
    <row r="611" spans="5:5" ht="14.25" customHeight="1">
      <c r="E611" s="18"/>
    </row>
    <row r="612" spans="5:5" ht="14.25" customHeight="1">
      <c r="E612" s="18"/>
    </row>
    <row r="613" spans="5:5" ht="14.25" customHeight="1">
      <c r="E613" s="18"/>
    </row>
    <row r="614" spans="5:5" ht="14.25" customHeight="1">
      <c r="E614" s="18"/>
    </row>
    <row r="615" spans="5:5" ht="14.25" customHeight="1">
      <c r="E615" s="18"/>
    </row>
    <row r="616" spans="5:5" ht="14.25" customHeight="1">
      <c r="E616" s="18"/>
    </row>
    <row r="617" spans="5:5" ht="14.25" customHeight="1">
      <c r="E617" s="18"/>
    </row>
    <row r="618" spans="5:5" ht="14.25" customHeight="1">
      <c r="E618" s="18"/>
    </row>
    <row r="619" spans="5:5" ht="14.25" customHeight="1">
      <c r="E619" s="18"/>
    </row>
    <row r="620" spans="5:5" ht="14.25" customHeight="1">
      <c r="E620" s="18"/>
    </row>
    <row r="621" spans="5:5" ht="14.25" customHeight="1">
      <c r="E621" s="18"/>
    </row>
    <row r="622" spans="5:5" ht="14.25" customHeight="1">
      <c r="E622" s="18"/>
    </row>
    <row r="623" spans="5:5" ht="14.25" customHeight="1">
      <c r="E623" s="18"/>
    </row>
    <row r="624" spans="5:5" ht="14.25" customHeight="1">
      <c r="E624" s="18"/>
    </row>
    <row r="625" spans="5:5" ht="14.25" customHeight="1">
      <c r="E625" s="18"/>
    </row>
    <row r="626" spans="5:5" ht="14.25" customHeight="1">
      <c r="E626" s="18"/>
    </row>
    <row r="627" spans="5:5" ht="14.25" customHeight="1">
      <c r="E627" s="18"/>
    </row>
    <row r="628" spans="5:5" ht="14.25" customHeight="1">
      <c r="E628" s="18"/>
    </row>
    <row r="629" spans="5:5" ht="14.25" customHeight="1">
      <c r="E629" s="18"/>
    </row>
    <row r="630" spans="5:5" ht="14.25" customHeight="1">
      <c r="E630" s="18"/>
    </row>
    <row r="631" spans="5:5" ht="14.25" customHeight="1">
      <c r="E631" s="18"/>
    </row>
    <row r="632" spans="5:5" ht="14.25" customHeight="1">
      <c r="E632" s="18"/>
    </row>
    <row r="633" spans="5:5" ht="14.25" customHeight="1">
      <c r="E633" s="18"/>
    </row>
    <row r="634" spans="5:5" ht="14.25" customHeight="1">
      <c r="E634" s="18"/>
    </row>
    <row r="635" spans="5:5" ht="14.25" customHeight="1">
      <c r="E635" s="18"/>
    </row>
    <row r="636" spans="5:5" ht="14.25" customHeight="1">
      <c r="E636" s="18"/>
    </row>
    <row r="637" spans="5:5" ht="14.25" customHeight="1">
      <c r="E637" s="18"/>
    </row>
    <row r="638" spans="5:5" ht="14.25" customHeight="1">
      <c r="E638" s="18"/>
    </row>
    <row r="639" spans="5:5" ht="14.25" customHeight="1">
      <c r="E639" s="18"/>
    </row>
    <row r="640" spans="5:5" ht="14.25" customHeight="1">
      <c r="E640" s="18"/>
    </row>
    <row r="641" spans="5:5" ht="14.25" customHeight="1">
      <c r="E641" s="18"/>
    </row>
    <row r="642" spans="5:5" ht="14.25" customHeight="1">
      <c r="E642" s="18"/>
    </row>
    <row r="643" spans="5:5" ht="14.25" customHeight="1">
      <c r="E643" s="18"/>
    </row>
    <row r="644" spans="5:5" ht="14.25" customHeight="1">
      <c r="E644" s="18"/>
    </row>
    <row r="645" spans="5:5" ht="14.25" customHeight="1">
      <c r="E645" s="18"/>
    </row>
    <row r="646" spans="5:5" ht="14.25" customHeight="1">
      <c r="E646" s="18"/>
    </row>
    <row r="647" spans="5:5" ht="14.25" customHeight="1">
      <c r="E647" s="18"/>
    </row>
    <row r="648" spans="5:5" ht="14.25" customHeight="1">
      <c r="E648" s="18"/>
    </row>
    <row r="649" spans="5:5" ht="14.25" customHeight="1">
      <c r="E649" s="18"/>
    </row>
    <row r="650" spans="5:5" ht="14.25" customHeight="1">
      <c r="E650" s="18"/>
    </row>
    <row r="651" spans="5:5" ht="14.25" customHeight="1">
      <c r="E651" s="18"/>
    </row>
    <row r="652" spans="5:5" ht="14.25" customHeight="1">
      <c r="E652" s="18"/>
    </row>
    <row r="653" spans="5:5" ht="14.25" customHeight="1">
      <c r="E653" s="18"/>
    </row>
    <row r="654" spans="5:5" ht="14.25" customHeight="1">
      <c r="E654" s="18"/>
    </row>
    <row r="655" spans="5:5" ht="14.25" customHeight="1">
      <c r="E655" s="18"/>
    </row>
    <row r="656" spans="5:5" ht="14.25" customHeight="1">
      <c r="E656" s="18"/>
    </row>
    <row r="657" spans="5:5" ht="14.25" customHeight="1">
      <c r="E657" s="18"/>
    </row>
    <row r="658" spans="5:5" ht="14.25" customHeight="1">
      <c r="E658" s="18"/>
    </row>
    <row r="659" spans="5:5" ht="14.25" customHeight="1">
      <c r="E659" s="18"/>
    </row>
    <row r="660" spans="5:5" ht="14.25" customHeight="1">
      <c r="E660" s="18"/>
    </row>
    <row r="661" spans="5:5" ht="14.25" customHeight="1">
      <c r="E661" s="18"/>
    </row>
    <row r="662" spans="5:5" ht="14.25" customHeight="1">
      <c r="E662" s="18"/>
    </row>
    <row r="663" spans="5:5" ht="14.25" customHeight="1">
      <c r="E663" s="18"/>
    </row>
    <row r="664" spans="5:5" ht="14.25" customHeight="1">
      <c r="E664" s="18"/>
    </row>
    <row r="665" spans="5:5" ht="14.25" customHeight="1">
      <c r="E665" s="18"/>
    </row>
    <row r="666" spans="5:5" ht="14.25" customHeight="1">
      <c r="E666" s="18"/>
    </row>
    <row r="667" spans="5:5" ht="14.25" customHeight="1">
      <c r="E667" s="18"/>
    </row>
    <row r="668" spans="5:5" ht="14.25" customHeight="1">
      <c r="E668" s="18"/>
    </row>
    <row r="669" spans="5:5" ht="14.25" customHeight="1">
      <c r="E669" s="18"/>
    </row>
    <row r="670" spans="5:5" ht="14.25" customHeight="1">
      <c r="E670" s="18"/>
    </row>
    <row r="671" spans="5:5" ht="14.25" customHeight="1">
      <c r="E671" s="18"/>
    </row>
    <row r="672" spans="5:5" ht="14.25" customHeight="1">
      <c r="E672" s="18"/>
    </row>
    <row r="673" spans="5:5" ht="14.25" customHeight="1">
      <c r="E673" s="18"/>
    </row>
    <row r="674" spans="5:5" ht="14.25" customHeight="1">
      <c r="E674" s="18"/>
    </row>
    <row r="675" spans="5:5" ht="14.25" customHeight="1">
      <c r="E675" s="18"/>
    </row>
    <row r="676" spans="5:5" ht="14.25" customHeight="1">
      <c r="E676" s="18"/>
    </row>
    <row r="677" spans="5:5" ht="14.25" customHeight="1">
      <c r="E677" s="18"/>
    </row>
    <row r="678" spans="5:5" ht="14.25" customHeight="1">
      <c r="E678" s="18"/>
    </row>
    <row r="679" spans="5:5" ht="14.25" customHeight="1">
      <c r="E679" s="18"/>
    </row>
    <row r="680" spans="5:5" ht="14.25" customHeight="1">
      <c r="E680" s="18"/>
    </row>
    <row r="681" spans="5:5" ht="14.25" customHeight="1">
      <c r="E681" s="18"/>
    </row>
    <row r="682" spans="5:5" ht="14.25" customHeight="1">
      <c r="E682" s="18"/>
    </row>
    <row r="683" spans="5:5" ht="14.25" customHeight="1">
      <c r="E683" s="18"/>
    </row>
    <row r="684" spans="5:5" ht="14.25" customHeight="1">
      <c r="E684" s="18"/>
    </row>
    <row r="685" spans="5:5" ht="14.25" customHeight="1">
      <c r="E685" s="18"/>
    </row>
    <row r="686" spans="5:5" ht="14.25" customHeight="1">
      <c r="E686" s="18"/>
    </row>
    <row r="687" spans="5:5" ht="14.25" customHeight="1">
      <c r="E687" s="18"/>
    </row>
    <row r="688" spans="5:5" ht="14.25" customHeight="1">
      <c r="E688" s="18"/>
    </row>
    <row r="689" spans="5:5" ht="14.25" customHeight="1">
      <c r="E689" s="18"/>
    </row>
    <row r="690" spans="5:5" ht="14.25" customHeight="1">
      <c r="E690" s="18"/>
    </row>
    <row r="691" spans="5:5" ht="14.25" customHeight="1">
      <c r="E691" s="18"/>
    </row>
    <row r="692" spans="5:5" ht="14.25" customHeight="1">
      <c r="E692" s="18"/>
    </row>
    <row r="693" spans="5:5" ht="14.25" customHeight="1">
      <c r="E693" s="18"/>
    </row>
    <row r="694" spans="5:5" ht="14.25" customHeight="1">
      <c r="E694" s="18"/>
    </row>
    <row r="695" spans="5:5" ht="14.25" customHeight="1">
      <c r="E695" s="18"/>
    </row>
    <row r="696" spans="5:5" ht="14.25" customHeight="1">
      <c r="E696" s="18"/>
    </row>
    <row r="697" spans="5:5" ht="14.25" customHeight="1">
      <c r="E697" s="18"/>
    </row>
    <row r="698" spans="5:5" ht="14.25" customHeight="1">
      <c r="E698" s="18"/>
    </row>
    <row r="699" spans="5:5" ht="14.25" customHeight="1">
      <c r="E699" s="18"/>
    </row>
    <row r="700" spans="5:5" ht="14.25" customHeight="1">
      <c r="E700" s="18"/>
    </row>
    <row r="701" spans="5:5" ht="14.25" customHeight="1">
      <c r="E701" s="18"/>
    </row>
    <row r="702" spans="5:5" ht="14.25" customHeight="1">
      <c r="E702" s="18"/>
    </row>
    <row r="703" spans="5:5" ht="14.25" customHeight="1">
      <c r="E703" s="18"/>
    </row>
    <row r="704" spans="5:5" ht="14.25" customHeight="1">
      <c r="E704" s="18"/>
    </row>
    <row r="705" spans="5:5" ht="14.25" customHeight="1">
      <c r="E705" s="18"/>
    </row>
    <row r="706" spans="5:5" ht="14.25" customHeight="1">
      <c r="E706" s="18"/>
    </row>
    <row r="707" spans="5:5" ht="14.25" customHeight="1">
      <c r="E707" s="18"/>
    </row>
    <row r="708" spans="5:5" ht="14.25" customHeight="1">
      <c r="E708" s="18"/>
    </row>
    <row r="709" spans="5:5" ht="14.25" customHeight="1">
      <c r="E709" s="18"/>
    </row>
    <row r="710" spans="5:5" ht="14.25" customHeight="1">
      <c r="E710" s="18"/>
    </row>
    <row r="711" spans="5:5" ht="14.25" customHeight="1">
      <c r="E711" s="18"/>
    </row>
    <row r="712" spans="5:5" ht="14.25" customHeight="1">
      <c r="E712" s="18"/>
    </row>
    <row r="713" spans="5:5" ht="14.25" customHeight="1">
      <c r="E713" s="18"/>
    </row>
    <row r="714" spans="5:5" ht="14.25" customHeight="1">
      <c r="E714" s="18"/>
    </row>
    <row r="715" spans="5:5" ht="14.25" customHeight="1">
      <c r="E715" s="18"/>
    </row>
    <row r="716" spans="5:5" ht="14.25" customHeight="1">
      <c r="E716" s="18"/>
    </row>
    <row r="717" spans="5:5" ht="14.25" customHeight="1">
      <c r="E717" s="18"/>
    </row>
    <row r="718" spans="5:5" ht="14.25" customHeight="1">
      <c r="E718" s="18"/>
    </row>
    <row r="719" spans="5:5" ht="14.25" customHeight="1">
      <c r="E719" s="18"/>
    </row>
    <row r="720" spans="5:5" ht="14.25" customHeight="1">
      <c r="E720" s="18"/>
    </row>
    <row r="721" spans="5:5" ht="14.25" customHeight="1">
      <c r="E721" s="18"/>
    </row>
    <row r="722" spans="5:5" ht="14.25" customHeight="1">
      <c r="E722" s="18"/>
    </row>
    <row r="723" spans="5:5" ht="14.25" customHeight="1">
      <c r="E723" s="18"/>
    </row>
    <row r="724" spans="5:5" ht="14.25" customHeight="1">
      <c r="E724" s="18"/>
    </row>
    <row r="725" spans="5:5" ht="14.25" customHeight="1">
      <c r="E725" s="18"/>
    </row>
    <row r="726" spans="5:5" ht="14.25" customHeight="1">
      <c r="E726" s="18"/>
    </row>
    <row r="727" spans="5:5" ht="14.25" customHeight="1">
      <c r="E727" s="18"/>
    </row>
    <row r="728" spans="5:5" ht="14.25" customHeight="1">
      <c r="E728" s="18"/>
    </row>
    <row r="729" spans="5:5" ht="14.25" customHeight="1">
      <c r="E729" s="18"/>
    </row>
    <row r="730" spans="5:5" ht="14.25" customHeight="1">
      <c r="E730" s="18"/>
    </row>
    <row r="731" spans="5:5" ht="14.25" customHeight="1">
      <c r="E731" s="18"/>
    </row>
    <row r="732" spans="5:5" ht="14.25" customHeight="1">
      <c r="E732" s="18"/>
    </row>
    <row r="733" spans="5:5" ht="14.25" customHeight="1">
      <c r="E733" s="18"/>
    </row>
    <row r="734" spans="5:5" ht="14.25" customHeight="1">
      <c r="E734" s="18"/>
    </row>
    <row r="735" spans="5:5" ht="14.25" customHeight="1">
      <c r="E735" s="18"/>
    </row>
    <row r="736" spans="5:5" ht="14.25" customHeight="1">
      <c r="E736" s="18"/>
    </row>
    <row r="737" spans="5:5" ht="14.25" customHeight="1">
      <c r="E737" s="18"/>
    </row>
    <row r="738" spans="5:5" ht="14.25" customHeight="1">
      <c r="E738" s="18"/>
    </row>
    <row r="739" spans="5:5" ht="14.25" customHeight="1">
      <c r="E739" s="18"/>
    </row>
    <row r="740" spans="5:5" ht="14.25" customHeight="1">
      <c r="E740" s="18"/>
    </row>
    <row r="741" spans="5:5" ht="14.25" customHeight="1">
      <c r="E741" s="18"/>
    </row>
    <row r="742" spans="5:5" ht="14.25" customHeight="1">
      <c r="E742" s="18"/>
    </row>
    <row r="743" spans="5:5" ht="14.25" customHeight="1">
      <c r="E743" s="18"/>
    </row>
    <row r="744" spans="5:5" ht="14.25" customHeight="1">
      <c r="E744" s="18"/>
    </row>
    <row r="745" spans="5:5" ht="14.25" customHeight="1">
      <c r="E745" s="18"/>
    </row>
    <row r="746" spans="5:5" ht="14.25" customHeight="1">
      <c r="E746" s="18"/>
    </row>
    <row r="747" spans="5:5" ht="14.25" customHeight="1">
      <c r="E747" s="18"/>
    </row>
    <row r="748" spans="5:5" ht="14.25" customHeight="1">
      <c r="E748" s="18"/>
    </row>
    <row r="749" spans="5:5" ht="14.25" customHeight="1">
      <c r="E749" s="18"/>
    </row>
    <row r="750" spans="5:5" ht="14.25" customHeight="1">
      <c r="E750" s="18"/>
    </row>
    <row r="751" spans="5:5" ht="14.25" customHeight="1">
      <c r="E751" s="18"/>
    </row>
    <row r="752" spans="5:5" ht="14.25" customHeight="1">
      <c r="E752" s="18"/>
    </row>
    <row r="753" spans="5:5" ht="14.25" customHeight="1">
      <c r="E753" s="18"/>
    </row>
    <row r="754" spans="5:5" ht="14.25" customHeight="1">
      <c r="E754" s="18"/>
    </row>
    <row r="755" spans="5:5" ht="14.25" customHeight="1">
      <c r="E755" s="18"/>
    </row>
    <row r="756" spans="5:5" ht="14.25" customHeight="1">
      <c r="E756" s="18"/>
    </row>
    <row r="757" spans="5:5" ht="14.25" customHeight="1">
      <c r="E757" s="18"/>
    </row>
    <row r="758" spans="5:5" ht="14.25" customHeight="1">
      <c r="E758" s="18"/>
    </row>
    <row r="759" spans="5:5" ht="14.25" customHeight="1">
      <c r="E759" s="18"/>
    </row>
    <row r="760" spans="5:5" ht="14.25" customHeight="1">
      <c r="E760" s="18"/>
    </row>
    <row r="761" spans="5:5" ht="14.25" customHeight="1">
      <c r="E761" s="18"/>
    </row>
    <row r="762" spans="5:5" ht="14.25" customHeight="1">
      <c r="E762" s="18"/>
    </row>
    <row r="763" spans="5:5" ht="14.25" customHeight="1">
      <c r="E763" s="18"/>
    </row>
    <row r="764" spans="5:5" ht="14.25" customHeight="1">
      <c r="E764" s="18"/>
    </row>
    <row r="765" spans="5:5" ht="14.25" customHeight="1">
      <c r="E765" s="18"/>
    </row>
    <row r="766" spans="5:5" ht="14.25" customHeight="1">
      <c r="E766" s="18"/>
    </row>
    <row r="767" spans="5:5" ht="14.25" customHeight="1">
      <c r="E767" s="18"/>
    </row>
    <row r="768" spans="5:5" ht="14.25" customHeight="1">
      <c r="E768" s="18"/>
    </row>
    <row r="769" spans="5:5" ht="14.25" customHeight="1">
      <c r="E769" s="18"/>
    </row>
    <row r="770" spans="5:5" ht="14.25" customHeight="1">
      <c r="E770" s="18"/>
    </row>
    <row r="771" spans="5:5" ht="14.25" customHeight="1">
      <c r="E771" s="18"/>
    </row>
    <row r="772" spans="5:5" ht="14.25" customHeight="1">
      <c r="E772" s="18"/>
    </row>
    <row r="773" spans="5:5" ht="14.25" customHeight="1">
      <c r="E773" s="18"/>
    </row>
    <row r="774" spans="5:5" ht="14.25" customHeight="1">
      <c r="E774" s="18"/>
    </row>
    <row r="775" spans="5:5" ht="14.25" customHeight="1">
      <c r="E775" s="18"/>
    </row>
    <row r="776" spans="5:5" ht="14.25" customHeight="1">
      <c r="E776" s="18"/>
    </row>
    <row r="777" spans="5:5" ht="14.25" customHeight="1">
      <c r="E777" s="18"/>
    </row>
    <row r="778" spans="5:5" ht="14.25" customHeight="1">
      <c r="E778" s="18"/>
    </row>
    <row r="779" spans="5:5" ht="14.25" customHeight="1">
      <c r="E779" s="18"/>
    </row>
    <row r="780" spans="5:5" ht="14.25" customHeight="1">
      <c r="E780" s="18"/>
    </row>
    <row r="781" spans="5:5" ht="14.25" customHeight="1">
      <c r="E781" s="18"/>
    </row>
    <row r="782" spans="5:5" ht="14.25" customHeight="1">
      <c r="E782" s="18"/>
    </row>
    <row r="783" spans="5:5" ht="14.25" customHeight="1">
      <c r="E783" s="18"/>
    </row>
    <row r="784" spans="5:5" ht="14.25" customHeight="1">
      <c r="E784" s="18"/>
    </row>
    <row r="785" spans="5:5" ht="14.25" customHeight="1">
      <c r="E785" s="18"/>
    </row>
    <row r="786" spans="5:5" ht="14.25" customHeight="1">
      <c r="E786" s="18"/>
    </row>
    <row r="787" spans="5:5" ht="14.25" customHeight="1">
      <c r="E787" s="18"/>
    </row>
    <row r="788" spans="5:5" ht="14.25" customHeight="1">
      <c r="E788" s="18"/>
    </row>
    <row r="789" spans="5:5" ht="14.25" customHeight="1">
      <c r="E789" s="18"/>
    </row>
    <row r="790" spans="5:5" ht="14.25" customHeight="1">
      <c r="E790" s="18"/>
    </row>
    <row r="791" spans="5:5" ht="14.25" customHeight="1">
      <c r="E791" s="18"/>
    </row>
    <row r="792" spans="5:5" ht="14.25" customHeight="1">
      <c r="E792" s="18"/>
    </row>
    <row r="793" spans="5:5" ht="14.25" customHeight="1">
      <c r="E793" s="18"/>
    </row>
    <row r="794" spans="5:5" ht="14.25" customHeight="1">
      <c r="E794" s="18"/>
    </row>
    <row r="795" spans="5:5" ht="14.25" customHeight="1">
      <c r="E795" s="18"/>
    </row>
    <row r="796" spans="5:5" ht="14.25" customHeight="1">
      <c r="E796" s="18"/>
    </row>
    <row r="797" spans="5:5" ht="14.25" customHeight="1">
      <c r="E797" s="18"/>
    </row>
    <row r="798" spans="5:5" ht="14.25" customHeight="1">
      <c r="E798" s="18"/>
    </row>
    <row r="799" spans="5:5" ht="14.25" customHeight="1">
      <c r="E799" s="18"/>
    </row>
    <row r="800" spans="5:5" ht="14.25" customHeight="1">
      <c r="E800" s="18"/>
    </row>
    <row r="801" spans="5:5" ht="14.25" customHeight="1">
      <c r="E801" s="18"/>
    </row>
    <row r="802" spans="5:5" ht="14.25" customHeight="1">
      <c r="E802" s="18"/>
    </row>
    <row r="803" spans="5:5" ht="14.25" customHeight="1">
      <c r="E803" s="18"/>
    </row>
    <row r="804" spans="5:5" ht="14.25" customHeight="1">
      <c r="E804" s="18"/>
    </row>
    <row r="805" spans="5:5" ht="14.25" customHeight="1">
      <c r="E805" s="18"/>
    </row>
    <row r="806" spans="5:5" ht="14.25" customHeight="1">
      <c r="E806" s="18"/>
    </row>
    <row r="807" spans="5:5" ht="14.25" customHeight="1">
      <c r="E807" s="18"/>
    </row>
    <row r="808" spans="5:5" ht="14.25" customHeight="1">
      <c r="E808" s="18"/>
    </row>
    <row r="809" spans="5:5" ht="14.25" customHeight="1">
      <c r="E809" s="18"/>
    </row>
    <row r="810" spans="5:5" ht="14.25" customHeight="1">
      <c r="E810" s="18"/>
    </row>
    <row r="811" spans="5:5" ht="14.25" customHeight="1">
      <c r="E811" s="18"/>
    </row>
    <row r="812" spans="5:5" ht="14.25" customHeight="1">
      <c r="E812" s="18"/>
    </row>
    <row r="813" spans="5:5" ht="14.25" customHeight="1">
      <c r="E813" s="18"/>
    </row>
    <row r="814" spans="5:5" ht="14.25" customHeight="1">
      <c r="E814" s="18"/>
    </row>
    <row r="815" spans="5:5" ht="14.25" customHeight="1">
      <c r="E815" s="18"/>
    </row>
    <row r="816" spans="5:5" ht="14.25" customHeight="1">
      <c r="E816" s="18"/>
    </row>
    <row r="817" spans="5:5" ht="14.25" customHeight="1">
      <c r="E817" s="18"/>
    </row>
    <row r="818" spans="5:5" ht="14.25" customHeight="1">
      <c r="E818" s="18"/>
    </row>
    <row r="819" spans="5:5" ht="14.25" customHeight="1">
      <c r="E819" s="18"/>
    </row>
    <row r="820" spans="5:5" ht="14.25" customHeight="1">
      <c r="E820" s="18"/>
    </row>
    <row r="821" spans="5:5" ht="14.25" customHeight="1">
      <c r="E821" s="18"/>
    </row>
    <row r="822" spans="5:5" ht="14.25" customHeight="1">
      <c r="E822" s="18"/>
    </row>
    <row r="823" spans="5:5" ht="14.25" customHeight="1">
      <c r="E823" s="18"/>
    </row>
    <row r="824" spans="5:5" ht="14.25" customHeight="1">
      <c r="E824" s="18"/>
    </row>
    <row r="825" spans="5:5" ht="14.25" customHeight="1">
      <c r="E825" s="18"/>
    </row>
    <row r="826" spans="5:5" ht="14.25" customHeight="1">
      <c r="E826" s="18"/>
    </row>
    <row r="827" spans="5:5" ht="14.25" customHeight="1">
      <c r="E827" s="18"/>
    </row>
    <row r="828" spans="5:5" ht="14.25" customHeight="1">
      <c r="E828" s="18"/>
    </row>
    <row r="829" spans="5:5" ht="14.25" customHeight="1">
      <c r="E829" s="18"/>
    </row>
    <row r="830" spans="5:5" ht="14.25" customHeight="1">
      <c r="E830" s="18"/>
    </row>
    <row r="831" spans="5:5" ht="14.25" customHeight="1">
      <c r="E831" s="18"/>
    </row>
    <row r="832" spans="5:5" ht="14.25" customHeight="1">
      <c r="E832" s="18"/>
    </row>
    <row r="833" spans="5:5" ht="14.25" customHeight="1">
      <c r="E833" s="18"/>
    </row>
    <row r="834" spans="5:5" ht="14.25" customHeight="1">
      <c r="E834" s="18"/>
    </row>
    <row r="835" spans="5:5" ht="14.25" customHeight="1">
      <c r="E835" s="18"/>
    </row>
    <row r="836" spans="5:5" ht="14.25" customHeight="1">
      <c r="E836" s="18"/>
    </row>
    <row r="837" spans="5:5" ht="14.25" customHeight="1">
      <c r="E837" s="18"/>
    </row>
    <row r="838" spans="5:5" ht="14.25" customHeight="1">
      <c r="E838" s="18"/>
    </row>
    <row r="839" spans="5:5" ht="14.25" customHeight="1">
      <c r="E839" s="18"/>
    </row>
    <row r="840" spans="5:5" ht="14.25" customHeight="1">
      <c r="E840" s="18"/>
    </row>
    <row r="841" spans="5:5" ht="14.25" customHeight="1">
      <c r="E841" s="18"/>
    </row>
    <row r="842" spans="5:5" ht="14.25" customHeight="1">
      <c r="E842" s="18"/>
    </row>
    <row r="843" spans="5:5" ht="14.25" customHeight="1">
      <c r="E843" s="18"/>
    </row>
    <row r="844" spans="5:5" ht="14.25" customHeight="1">
      <c r="E844" s="18"/>
    </row>
    <row r="845" spans="5:5" ht="14.25" customHeight="1">
      <c r="E845" s="18"/>
    </row>
    <row r="846" spans="5:5" ht="14.25" customHeight="1">
      <c r="E846" s="18"/>
    </row>
    <row r="847" spans="5:5" ht="14.25" customHeight="1">
      <c r="E847" s="18"/>
    </row>
    <row r="848" spans="5:5" ht="14.25" customHeight="1">
      <c r="E848" s="18"/>
    </row>
    <row r="849" spans="5:5" ht="14.25" customHeight="1">
      <c r="E849" s="18"/>
    </row>
    <row r="850" spans="5:5" ht="14.25" customHeight="1">
      <c r="E850" s="18"/>
    </row>
    <row r="851" spans="5:5" ht="14.25" customHeight="1">
      <c r="E851" s="18"/>
    </row>
    <row r="852" spans="5:5" ht="14.25" customHeight="1">
      <c r="E852" s="18"/>
    </row>
    <row r="853" spans="5:5" ht="14.25" customHeight="1">
      <c r="E853" s="18"/>
    </row>
    <row r="854" spans="5:5" ht="14.25" customHeight="1">
      <c r="E854" s="18"/>
    </row>
    <row r="855" spans="5:5" ht="14.25" customHeight="1">
      <c r="E855" s="18"/>
    </row>
    <row r="856" spans="5:5" ht="14.25" customHeight="1">
      <c r="E856" s="18"/>
    </row>
    <row r="857" spans="5:5" ht="14.25" customHeight="1">
      <c r="E857" s="18"/>
    </row>
    <row r="858" spans="5:5" ht="14.25" customHeight="1">
      <c r="E858" s="18"/>
    </row>
    <row r="859" spans="5:5" ht="14.25" customHeight="1">
      <c r="E859" s="18"/>
    </row>
    <row r="860" spans="5:5" ht="14.25" customHeight="1">
      <c r="E860" s="18"/>
    </row>
    <row r="861" spans="5:5" ht="14.25" customHeight="1">
      <c r="E861" s="18"/>
    </row>
    <row r="862" spans="5:5" ht="14.25" customHeight="1">
      <c r="E862" s="18"/>
    </row>
    <row r="863" spans="5:5" ht="14.25" customHeight="1">
      <c r="E863" s="18"/>
    </row>
    <row r="864" spans="5:5" ht="14.25" customHeight="1">
      <c r="E864" s="18"/>
    </row>
    <row r="865" spans="5:5" ht="14.25" customHeight="1">
      <c r="E865" s="18"/>
    </row>
    <row r="866" spans="5:5" ht="14.25" customHeight="1">
      <c r="E866" s="18"/>
    </row>
    <row r="867" spans="5:5" ht="14.25" customHeight="1">
      <c r="E867" s="18"/>
    </row>
    <row r="868" spans="5:5" ht="14.25" customHeight="1">
      <c r="E868" s="18"/>
    </row>
    <row r="869" spans="5:5" ht="14.25" customHeight="1">
      <c r="E869" s="18"/>
    </row>
    <row r="870" spans="5:5" ht="14.25" customHeight="1">
      <c r="E870" s="18"/>
    </row>
    <row r="871" spans="5:5" ht="14.25" customHeight="1">
      <c r="E871" s="18"/>
    </row>
    <row r="872" spans="5:5" ht="14.25" customHeight="1">
      <c r="E872" s="18"/>
    </row>
    <row r="873" spans="5:5" ht="14.25" customHeight="1">
      <c r="E873" s="18"/>
    </row>
    <row r="874" spans="5:5" ht="14.25" customHeight="1">
      <c r="E874" s="18"/>
    </row>
    <row r="875" spans="5:5" ht="14.25" customHeight="1">
      <c r="E875" s="18"/>
    </row>
    <row r="876" spans="5:5" ht="14.25" customHeight="1">
      <c r="E876" s="18"/>
    </row>
    <row r="877" spans="5:5" ht="14.25" customHeight="1">
      <c r="E877" s="18"/>
    </row>
    <row r="878" spans="5:5" ht="14.25" customHeight="1">
      <c r="E878" s="18"/>
    </row>
    <row r="879" spans="5:5" ht="14.25" customHeight="1">
      <c r="E879" s="18"/>
    </row>
    <row r="880" spans="5:5" ht="14.25" customHeight="1">
      <c r="E880" s="18"/>
    </row>
    <row r="881" spans="5:5" ht="14.25" customHeight="1">
      <c r="E881" s="18"/>
    </row>
    <row r="882" spans="5:5" ht="14.25" customHeight="1">
      <c r="E882" s="18"/>
    </row>
    <row r="883" spans="5:5" ht="14.25" customHeight="1">
      <c r="E883" s="18"/>
    </row>
    <row r="884" spans="5:5" ht="14.25" customHeight="1">
      <c r="E884" s="18"/>
    </row>
    <row r="885" spans="5:5" ht="14.25" customHeight="1">
      <c r="E885" s="18"/>
    </row>
    <row r="886" spans="5:5" ht="14.25" customHeight="1">
      <c r="E886" s="18"/>
    </row>
    <row r="887" spans="5:5" ht="14.25" customHeight="1">
      <c r="E887" s="18"/>
    </row>
    <row r="888" spans="5:5" ht="14.25" customHeight="1">
      <c r="E888" s="18"/>
    </row>
    <row r="889" spans="5:5" ht="14.25" customHeight="1">
      <c r="E889" s="18"/>
    </row>
    <row r="890" spans="5:5" ht="14.25" customHeight="1">
      <c r="E890" s="18"/>
    </row>
    <row r="891" spans="5:5" ht="14.25" customHeight="1">
      <c r="E891" s="18"/>
    </row>
    <row r="892" spans="5:5" ht="14.25" customHeight="1">
      <c r="E892" s="18"/>
    </row>
    <row r="893" spans="5:5" ht="14.25" customHeight="1">
      <c r="E893" s="18"/>
    </row>
    <row r="894" spans="5:5" ht="14.25" customHeight="1">
      <c r="E894" s="18"/>
    </row>
    <row r="895" spans="5:5" ht="14.25" customHeight="1">
      <c r="E895" s="18"/>
    </row>
    <row r="896" spans="5:5" ht="14.25" customHeight="1">
      <c r="E896" s="18"/>
    </row>
    <row r="897" spans="5:5" ht="14.25" customHeight="1">
      <c r="E897" s="18"/>
    </row>
    <row r="898" spans="5:5" ht="14.25" customHeight="1">
      <c r="E898" s="18"/>
    </row>
    <row r="899" spans="5:5" ht="14.25" customHeight="1">
      <c r="E899" s="18"/>
    </row>
    <row r="900" spans="5:5" ht="14.25" customHeight="1">
      <c r="E900" s="18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outlinePr summaryBelow="0" summaryRight="0"/>
  </sheetPr>
  <dimension ref="A1:M17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3.42578125" style="259" customWidth="1"/>
    <col min="2" max="2" width="32" style="259" customWidth="1"/>
    <col min="3" max="3" width="27.42578125" style="259" customWidth="1"/>
    <col min="4" max="4" width="99.28515625" style="259" customWidth="1"/>
    <col min="5" max="5" width="33.5703125" style="259" customWidth="1"/>
    <col min="6" max="6" width="34" style="259" customWidth="1"/>
    <col min="7" max="7" width="15.5703125" style="259" customWidth="1"/>
    <col min="8" max="8" width="29.42578125" style="259" customWidth="1"/>
    <col min="11" max="11" width="29.42578125" style="259" customWidth="1"/>
  </cols>
  <sheetData>
    <row r="1" spans="1:13">
      <c r="A1" s="34" t="s">
        <v>1057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 ht="144" customHeight="1">
      <c r="A3" s="258" t="s">
        <v>512</v>
      </c>
      <c r="B3" s="16" t="s">
        <v>634</v>
      </c>
      <c r="C3" s="281" t="s">
        <v>1061</v>
      </c>
      <c r="D3" s="282" t="s">
        <v>1062</v>
      </c>
      <c r="E3" s="28"/>
      <c r="F3" s="28"/>
      <c r="G3" s="28"/>
      <c r="H3" s="28"/>
      <c r="I3" s="28"/>
      <c r="J3" s="28"/>
      <c r="K3" s="28"/>
    </row>
    <row r="4" spans="1:13">
      <c r="A4" s="258" t="s">
        <v>512</v>
      </c>
      <c r="B4" s="16" t="s">
        <v>626</v>
      </c>
      <c r="C4" s="283" t="s">
        <v>1063</v>
      </c>
      <c r="D4" s="283" t="s">
        <v>1064</v>
      </c>
      <c r="E4" s="283"/>
      <c r="F4" s="283"/>
      <c r="G4" s="283"/>
      <c r="H4" s="283"/>
      <c r="I4" s="283"/>
      <c r="J4" s="283"/>
      <c r="K4" s="283"/>
    </row>
    <row r="5" spans="1:1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3">
      <c r="A6" s="34" t="s">
        <v>1058</v>
      </c>
      <c r="B6" s="34" t="s">
        <v>1059</v>
      </c>
      <c r="C6" s="34" t="s">
        <v>1065</v>
      </c>
      <c r="D6" s="34" t="s">
        <v>1066</v>
      </c>
      <c r="E6" s="34" t="s">
        <v>1067</v>
      </c>
      <c r="F6" s="34" t="s">
        <v>1068</v>
      </c>
      <c r="G6" s="34" t="s">
        <v>1069</v>
      </c>
      <c r="H6" s="34" t="s">
        <v>1070</v>
      </c>
      <c r="I6" s="34" t="s">
        <v>1071</v>
      </c>
      <c r="J6" s="34" t="s">
        <v>1072</v>
      </c>
      <c r="K6" s="34" t="s">
        <v>1073</v>
      </c>
    </row>
    <row r="7" spans="1:13">
      <c r="A7" s="13"/>
      <c r="B7" s="18"/>
      <c r="C7" s="13"/>
      <c r="D7" s="13"/>
      <c r="E7" s="258" t="s">
        <v>212</v>
      </c>
      <c r="F7" s="30" t="s">
        <v>1074</v>
      </c>
      <c r="G7" s="16" t="s">
        <v>213</v>
      </c>
      <c r="H7" s="30" t="s">
        <v>246</v>
      </c>
      <c r="I7" s="18" t="s">
        <v>519</v>
      </c>
      <c r="J7" s="18"/>
      <c r="K7" s="30" t="s">
        <v>1075</v>
      </c>
    </row>
    <row r="8" spans="1:13">
      <c r="A8" s="258" t="s">
        <v>512</v>
      </c>
      <c r="B8" s="16" t="s">
        <v>634</v>
      </c>
      <c r="C8" s="258" t="s">
        <v>490</v>
      </c>
      <c r="D8" s="258" t="s">
        <v>1076</v>
      </c>
      <c r="E8" s="258" t="s">
        <v>212</v>
      </c>
      <c r="F8" s="311" t="s">
        <v>1077</v>
      </c>
      <c r="G8" s="16" t="s">
        <v>213</v>
      </c>
      <c r="H8" s="311" t="s">
        <v>1078</v>
      </c>
      <c r="I8" s="16" t="s">
        <v>1079</v>
      </c>
      <c r="J8" s="16">
        <v>32</v>
      </c>
      <c r="K8" s="311" t="s">
        <v>1080</v>
      </c>
      <c r="M8" s="13" t="str">
        <f>"COMMENT ON COLUMN PG_SILVER."&amp;G8&amp;"."&amp;H8&amp;" IS '"&amp;K8&amp;"';"</f>
        <v>COMMENT ON COLUMN PG_SILVER.AR_DLQ_SMY.AR_ID IS 'ID của hợp đồng';</v>
      </c>
    </row>
    <row r="9" spans="1:13">
      <c r="A9" s="258" t="s">
        <v>512</v>
      </c>
      <c r="B9" s="16" t="s">
        <v>634</v>
      </c>
      <c r="C9" s="258" t="s">
        <v>490</v>
      </c>
      <c r="D9" s="258" t="s">
        <v>1081</v>
      </c>
      <c r="E9" s="258" t="s">
        <v>212</v>
      </c>
      <c r="F9" s="258" t="s">
        <v>928</v>
      </c>
      <c r="G9" s="16" t="s">
        <v>213</v>
      </c>
      <c r="H9" s="311" t="s">
        <v>1082</v>
      </c>
      <c r="I9" s="311" t="s">
        <v>1083</v>
      </c>
      <c r="J9" s="258">
        <v>40</v>
      </c>
      <c r="K9" s="258" t="s">
        <v>1084</v>
      </c>
      <c r="M9" s="13" t="str">
        <f>"COMMENT ON COLUMN PG_SILVER."&amp;G9&amp;"."&amp;H9&amp;" IS '"&amp;K9&amp;"';"</f>
        <v>COMMENT ON COLUMN PG_SILVER.AR_DLQ_SMY.AR_CODE IS 'Mã hợp đồng';</v>
      </c>
    </row>
    <row r="10" spans="1:13">
      <c r="A10" s="258" t="s">
        <v>512</v>
      </c>
      <c r="B10" s="16" t="s">
        <v>634</v>
      </c>
      <c r="C10" s="258" t="s">
        <v>490</v>
      </c>
      <c r="D10" s="258" t="s">
        <v>1085</v>
      </c>
      <c r="E10" s="258" t="s">
        <v>212</v>
      </c>
      <c r="F10" s="311" t="s">
        <v>1086</v>
      </c>
      <c r="G10" s="16" t="s">
        <v>213</v>
      </c>
      <c r="H10" s="31" t="s">
        <v>1087</v>
      </c>
      <c r="I10" s="16" t="s">
        <v>1079</v>
      </c>
      <c r="J10" s="16">
        <v>32</v>
      </c>
      <c r="K10" s="311" t="s">
        <v>1088</v>
      </c>
      <c r="M10" s="13" t="str">
        <f>"COMMENT ON COLUMN PG_SILVER."&amp;G10&amp;"."&amp;H10&amp;" IS '"&amp;K10&amp;"';"</f>
        <v>COMMENT ON COLUMN PG_SILVER.AR_DLQ_SMY.ORIG_AR_ID IS 'ID của hợp đồng gốc';</v>
      </c>
    </row>
    <row r="11" spans="1:13">
      <c r="A11" s="258" t="s">
        <v>512</v>
      </c>
      <c r="B11" s="16" t="s">
        <v>634</v>
      </c>
      <c r="C11" s="258" t="s">
        <v>490</v>
      </c>
      <c r="D11" s="258" t="s">
        <v>1089</v>
      </c>
      <c r="E11" s="258" t="s">
        <v>212</v>
      </c>
      <c r="F11" s="311" t="s">
        <v>1090</v>
      </c>
      <c r="G11" s="16" t="s">
        <v>213</v>
      </c>
      <c r="H11" s="31" t="s">
        <v>1091</v>
      </c>
      <c r="I11" s="311" t="s">
        <v>1083</v>
      </c>
      <c r="J11" s="16">
        <v>40</v>
      </c>
      <c r="K11" s="258" t="s">
        <v>1092</v>
      </c>
      <c r="M11" s="13" t="str">
        <f>"COMMENT ON COLUMN PG_SILVER."&amp;G11&amp;"."&amp;H11&amp;" IS '"&amp;K11&amp;"';"</f>
        <v>COMMENT ON COLUMN PG_SILVER.AR_DLQ_SMY.ORIG_AR_CODE IS 'Mã hợp đồng gốc';</v>
      </c>
    </row>
    <row r="12" spans="1:13">
      <c r="A12" s="258" t="s">
        <v>512</v>
      </c>
      <c r="B12" s="16" t="s">
        <v>634</v>
      </c>
      <c r="C12" s="284"/>
      <c r="D12" s="258"/>
      <c r="E12" s="258" t="s">
        <v>212</v>
      </c>
      <c r="F12" s="32" t="s">
        <v>1093</v>
      </c>
      <c r="G12" s="16" t="s">
        <v>213</v>
      </c>
      <c r="H12" s="311" t="s">
        <v>316</v>
      </c>
      <c r="I12" s="311" t="s">
        <v>1083</v>
      </c>
      <c r="J12" s="16">
        <v>32</v>
      </c>
      <c r="K12" s="311" t="s">
        <v>1094</v>
      </c>
      <c r="M12" s="13" t="str">
        <f>"COMMENT ON COLUMN PG_SILVER."&amp;G12&amp;"."&amp;H12&amp;" IS '"&amp;K12&amp;"';"</f>
        <v>COMMENT ON COLUMN PG_SILVER.AR_DLQ_SMY.SRC_STM_CODE IS 'Mã nguồn dữ liệu';</v>
      </c>
    </row>
    <row r="13" spans="1:13">
      <c r="A13" s="258" t="s">
        <v>512</v>
      </c>
      <c r="B13" s="16" t="s">
        <v>634</v>
      </c>
      <c r="C13" s="284" t="s">
        <v>640</v>
      </c>
      <c r="D13" s="258" t="s">
        <v>1095</v>
      </c>
      <c r="E13" s="258" t="s">
        <v>212</v>
      </c>
      <c r="F13" s="311" t="s">
        <v>1096</v>
      </c>
      <c r="G13" s="16" t="s">
        <v>213</v>
      </c>
      <c r="H13" s="31" t="s">
        <v>1097</v>
      </c>
      <c r="I13" s="258" t="s">
        <v>519</v>
      </c>
      <c r="J13" s="16"/>
      <c r="K13" s="311" t="s">
        <v>1098</v>
      </c>
      <c r="M13" s="13" t="str">
        <f>"COMMENT ON COLUMN PG_SILVER."&amp;G13&amp;"."&amp;H13&amp;" IS '"&amp;K13&amp;"';"</f>
        <v>COMMENT ON COLUMN PG_SILVER.AR_DLQ_SMY.PNP_PAST_DUE_DT IS 'Ngày quá hạn gốc';</v>
      </c>
    </row>
    <row r="14" spans="1:13">
      <c r="A14" s="258" t="s">
        <v>512</v>
      </c>
      <c r="B14" s="16" t="s">
        <v>634</v>
      </c>
      <c r="C14" s="284" t="s">
        <v>640</v>
      </c>
      <c r="D14" s="258" t="s">
        <v>1099</v>
      </c>
      <c r="E14" s="258" t="s">
        <v>212</v>
      </c>
      <c r="F14" s="311" t="s">
        <v>1100</v>
      </c>
      <c r="G14" s="16" t="s">
        <v>213</v>
      </c>
      <c r="H14" s="31" t="s">
        <v>1101</v>
      </c>
      <c r="I14" s="258" t="s">
        <v>519</v>
      </c>
      <c r="J14" s="16"/>
      <c r="K14" s="311" t="s">
        <v>1102</v>
      </c>
      <c r="M14" s="13" t="str">
        <f>"COMMENT ON COLUMN PG_SILVER."&amp;G14&amp;"."&amp;H14&amp;" IS '"&amp;K14&amp;"';"</f>
        <v>COMMENT ON COLUMN PG_SILVER.AR_DLQ_SMY.INT_PAST_DUE_DT IS 'Ngày quá hạn lãi';</v>
      </c>
    </row>
    <row r="15" spans="1:13">
      <c r="A15" s="258" t="s">
        <v>512</v>
      </c>
      <c r="B15" s="16" t="s">
        <v>634</v>
      </c>
      <c r="C15" s="33" t="s">
        <v>639</v>
      </c>
      <c r="D15" s="258" t="s">
        <v>1103</v>
      </c>
      <c r="E15" s="258" t="s">
        <v>212</v>
      </c>
      <c r="F15" s="311" t="s">
        <v>1104</v>
      </c>
      <c r="G15" s="16" t="s">
        <v>213</v>
      </c>
      <c r="H15" s="31" t="s">
        <v>1105</v>
      </c>
      <c r="I15" s="311" t="s">
        <v>1106</v>
      </c>
      <c r="J15" s="16">
        <v>25.5</v>
      </c>
      <c r="K15" s="258" t="s">
        <v>1107</v>
      </c>
      <c r="M15" s="13" t="str">
        <f>"COMMENT ON COLUMN PG_SILVER."&amp;G15&amp;"."&amp;H15&amp;" IS '"&amp;K15&amp;"';"</f>
        <v>COMMENT ON COLUMN PG_SILVER.AR_DLQ_SMY.PNP_ARS IS 'Số tiền quá hạn gốc';</v>
      </c>
    </row>
    <row r="16" spans="1:13">
      <c r="A16" s="258" t="s">
        <v>512</v>
      </c>
      <c r="B16" s="16" t="s">
        <v>634</v>
      </c>
      <c r="C16" s="258" t="s">
        <v>639</v>
      </c>
      <c r="D16" s="258" t="s">
        <v>1108</v>
      </c>
      <c r="E16" s="258" t="s">
        <v>212</v>
      </c>
      <c r="F16" s="258" t="s">
        <v>1109</v>
      </c>
      <c r="G16" s="16" t="s">
        <v>213</v>
      </c>
      <c r="H16" s="31" t="s">
        <v>1110</v>
      </c>
      <c r="I16" s="311" t="s">
        <v>1106</v>
      </c>
      <c r="J16" s="258">
        <v>25.5</v>
      </c>
      <c r="K16" s="258" t="s">
        <v>1111</v>
      </c>
      <c r="M16" s="13" t="str">
        <f>"COMMENT ON COLUMN PG_SILVER."&amp;G16&amp;"."&amp;H16&amp;" IS '"&amp;K16&amp;"';"</f>
        <v>COMMENT ON COLUMN PG_SILVER.AR_DLQ_SMY.INT_ARS IS 'Số tiền quá hạn lãi';</v>
      </c>
    </row>
    <row r="17" spans="1:13">
      <c r="A17" s="258" t="s">
        <v>512</v>
      </c>
      <c r="B17" s="16" t="s">
        <v>626</v>
      </c>
      <c r="C17" s="258" t="s">
        <v>632</v>
      </c>
      <c r="D17" s="258" t="s">
        <v>1112</v>
      </c>
      <c r="E17" s="258" t="s">
        <v>212</v>
      </c>
      <c r="F17" s="258" t="s">
        <v>1113</v>
      </c>
      <c r="G17" s="16" t="s">
        <v>213</v>
      </c>
      <c r="H17" s="31" t="s">
        <v>1114</v>
      </c>
      <c r="I17" s="311" t="s">
        <v>1106</v>
      </c>
      <c r="J17" s="258">
        <v>22</v>
      </c>
      <c r="K17" s="311" t="s">
        <v>956</v>
      </c>
      <c r="M17" s="13" t="str">
        <f>"COMMENT ON COLUMN PG_SILVER."&amp;G17&amp;"."&amp;H17&amp;" IS '"&amp;K17&amp;"';"</f>
        <v>COMMENT ON COLUMN PG_SILVER.AR_DLQ_SMY.ADDITION_DYS_IN_ARS IS 'Số ngày quá hạn chuyển đổi';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AC998"/>
  <sheetViews>
    <sheetView topLeftCell="A3" workbookViewId="0"/>
  </sheetViews>
  <sheetFormatPr defaultColWidth="14.42578125" defaultRowHeight="15" customHeight="1"/>
  <cols>
    <col min="1" max="1" width="8.140625" style="259" customWidth="1"/>
    <col min="2" max="2" width="13.42578125" style="259" customWidth="1"/>
    <col min="3" max="3" width="15.140625" style="259" customWidth="1"/>
    <col min="4" max="4" width="46.85546875" style="259" customWidth="1"/>
    <col min="5" max="5" width="32" style="259" customWidth="1"/>
    <col min="6" max="6" width="34.85546875" style="259" customWidth="1"/>
    <col min="7" max="7" width="15.5703125" style="259" customWidth="1"/>
    <col min="8" max="8" width="94.140625" style="259" customWidth="1"/>
    <col min="11" max="11" width="29.42578125" style="259" customWidth="1"/>
  </cols>
  <sheetData>
    <row r="1" spans="1:29">
      <c r="A1" s="34" t="s">
        <v>1115</v>
      </c>
      <c r="B1" s="34"/>
      <c r="C1" s="35"/>
      <c r="D1" s="35"/>
      <c r="E1" s="34"/>
      <c r="F1" s="34"/>
      <c r="G1" s="34"/>
      <c r="H1" s="34"/>
      <c r="I1" s="34"/>
      <c r="J1" s="34"/>
      <c r="K1" s="34"/>
    </row>
    <row r="2" spans="1:29">
      <c r="A2" s="36" t="s">
        <v>1116</v>
      </c>
      <c r="B2" s="37" t="s">
        <v>1117</v>
      </c>
      <c r="C2" s="38" t="s">
        <v>1118</v>
      </c>
      <c r="D2" s="38" t="s">
        <v>1119</v>
      </c>
      <c r="E2" s="39" t="s">
        <v>1120</v>
      </c>
      <c r="F2" s="39" t="s">
        <v>1121</v>
      </c>
      <c r="G2" s="39" t="s">
        <v>1122</v>
      </c>
      <c r="H2" s="39" t="s">
        <v>1123</v>
      </c>
      <c r="I2" s="34"/>
      <c r="J2" s="34"/>
      <c r="K2" s="34"/>
    </row>
    <row r="3" spans="1:29" ht="126.75" customHeight="1">
      <c r="A3" s="60">
        <v>1</v>
      </c>
      <c r="B3" s="285" t="s">
        <v>505</v>
      </c>
      <c r="C3" s="310" t="s">
        <v>506</v>
      </c>
      <c r="D3" s="310" t="s">
        <v>1061</v>
      </c>
      <c r="E3" s="311"/>
      <c r="F3" s="312"/>
      <c r="G3" s="312"/>
      <c r="H3" s="311" t="s">
        <v>1124</v>
      </c>
      <c r="I3" s="34"/>
      <c r="J3" s="34"/>
      <c r="K3" s="34"/>
    </row>
    <row r="4" spans="1:29">
      <c r="A4" s="29"/>
      <c r="B4" s="29"/>
      <c r="C4" s="40"/>
      <c r="D4" s="40"/>
      <c r="E4" s="29"/>
      <c r="F4" s="29"/>
      <c r="G4" s="29"/>
      <c r="H4" s="29"/>
      <c r="I4" s="29"/>
      <c r="J4" s="29"/>
      <c r="K4" s="29"/>
    </row>
    <row r="5" spans="1:29">
      <c r="A5" s="29"/>
      <c r="B5" s="29"/>
      <c r="C5" s="40"/>
      <c r="D5" s="40"/>
      <c r="E5" s="29"/>
      <c r="F5" s="29"/>
      <c r="G5" s="29"/>
      <c r="H5" s="29"/>
      <c r="I5" s="29"/>
      <c r="J5" s="29"/>
      <c r="K5" s="29"/>
    </row>
    <row r="6" spans="1:29">
      <c r="A6" s="34" t="s">
        <v>1058</v>
      </c>
      <c r="B6" s="34" t="s">
        <v>1059</v>
      </c>
      <c r="C6" s="35" t="s">
        <v>1065</v>
      </c>
      <c r="D6" s="35" t="s">
        <v>1066</v>
      </c>
      <c r="E6" s="34" t="s">
        <v>1067</v>
      </c>
      <c r="F6" s="34" t="s">
        <v>1068</v>
      </c>
      <c r="G6" s="34" t="s">
        <v>1069</v>
      </c>
      <c r="H6" s="34" t="s">
        <v>1070</v>
      </c>
      <c r="I6" s="34" t="s">
        <v>1071</v>
      </c>
      <c r="J6" s="34" t="s">
        <v>1072</v>
      </c>
      <c r="K6" s="34" t="s">
        <v>1073</v>
      </c>
    </row>
    <row r="7" spans="1:29">
      <c r="A7" s="258"/>
      <c r="B7" s="258"/>
      <c r="C7" s="41"/>
      <c r="D7" s="41" t="s">
        <v>1125</v>
      </c>
      <c r="E7" s="258" t="s">
        <v>217</v>
      </c>
      <c r="F7" s="258" t="s">
        <v>1074</v>
      </c>
      <c r="G7" s="16" t="s">
        <v>218</v>
      </c>
      <c r="H7" s="311" t="s">
        <v>246</v>
      </c>
      <c r="I7" s="311" t="s">
        <v>519</v>
      </c>
      <c r="J7" s="16"/>
      <c r="K7" s="311" t="s">
        <v>247</v>
      </c>
      <c r="M7" s="13" t="str">
        <f>"COMMENT ON COLUMN PG_SILVER."&amp;G7&amp;"."&amp;H7&amp;" IS '"&amp;K7&amp;"';"</f>
        <v>COMMENT ON COLUMN PG_SILVER.AR_TVR_SMY.CDR_DT IS 'Ngày dữ liệu';</v>
      </c>
    </row>
    <row r="8" spans="1:29">
      <c r="A8" s="258"/>
      <c r="B8" s="258"/>
      <c r="C8" s="41"/>
      <c r="D8" s="41"/>
      <c r="E8" s="258" t="s">
        <v>217</v>
      </c>
      <c r="F8" s="32" t="s">
        <v>1093</v>
      </c>
      <c r="G8" s="16" t="s">
        <v>218</v>
      </c>
      <c r="H8" s="311" t="s">
        <v>316</v>
      </c>
      <c r="I8" s="311" t="s">
        <v>1083</v>
      </c>
      <c r="J8" s="16">
        <v>32</v>
      </c>
      <c r="K8" s="311" t="s">
        <v>1094</v>
      </c>
      <c r="M8" s="13" t="str">
        <f>"COMMENT ON COLUMN PG_SILVER."&amp;G8&amp;"."&amp;H8&amp;" IS '"&amp;K8&amp;"';"</f>
        <v>COMMENT ON COLUMN PG_SILVER.AR_TVR_SMY.SRC_STM_CODE IS 'Mã nguồn dữ liệu';</v>
      </c>
    </row>
    <row r="9" spans="1:29">
      <c r="A9" s="285" t="s">
        <v>505</v>
      </c>
      <c r="B9" s="311" t="s">
        <v>506</v>
      </c>
      <c r="C9" s="41" t="s">
        <v>511</v>
      </c>
      <c r="D9" s="41" t="s">
        <v>1126</v>
      </c>
      <c r="E9" s="258" t="s">
        <v>217</v>
      </c>
      <c r="F9" s="311" t="s">
        <v>1077</v>
      </c>
      <c r="G9" s="16" t="s">
        <v>218</v>
      </c>
      <c r="H9" s="258" t="s">
        <v>1078</v>
      </c>
      <c r="I9" s="311" t="s">
        <v>1079</v>
      </c>
      <c r="J9" s="258">
        <v>32</v>
      </c>
      <c r="K9" s="258" t="s">
        <v>1127</v>
      </c>
      <c r="M9" s="13" t="str">
        <f>"COMMENT ON COLUMN PG_SILVER."&amp;G9&amp;"."&amp;H9&amp;" IS '"&amp;K9&amp;"';"</f>
        <v>COMMENT ON COLUMN PG_SILVER.AR_TVR_SMY.AR_ID IS 'ID hợp đồng';</v>
      </c>
    </row>
    <row r="10" spans="1:29">
      <c r="A10" s="285" t="s">
        <v>505</v>
      </c>
      <c r="B10" s="311" t="s">
        <v>506</v>
      </c>
      <c r="C10" s="41" t="s">
        <v>511</v>
      </c>
      <c r="D10" s="41" t="s">
        <v>1128</v>
      </c>
      <c r="E10" s="258" t="s">
        <v>217</v>
      </c>
      <c r="F10" s="311" t="s">
        <v>928</v>
      </c>
      <c r="G10" s="16" t="s">
        <v>218</v>
      </c>
      <c r="H10" s="258" t="s">
        <v>1082</v>
      </c>
      <c r="I10" s="311" t="s">
        <v>1083</v>
      </c>
      <c r="J10" s="16">
        <v>32</v>
      </c>
      <c r="K10" s="258" t="s">
        <v>249</v>
      </c>
      <c r="M10" s="13" t="str">
        <f>"COMMENT ON COLUMN PG_SILVER."&amp;G10&amp;"."&amp;H10&amp;" IS '"&amp;K10&amp;"';"</f>
        <v>COMMENT ON COLUMN PG_SILVER.AR_TVR_SMY.AR_CODE IS 'Mã hợp đồng';</v>
      </c>
    </row>
    <row r="11" spans="1:29">
      <c r="A11" s="285" t="s">
        <v>505</v>
      </c>
      <c r="B11" s="311" t="s">
        <v>506</v>
      </c>
      <c r="C11" s="285" t="s">
        <v>511</v>
      </c>
      <c r="D11" s="41" t="s">
        <v>1129</v>
      </c>
      <c r="E11" s="258" t="s">
        <v>217</v>
      </c>
      <c r="F11" s="258" t="s">
        <v>1086</v>
      </c>
      <c r="G11" s="31" t="s">
        <v>223</v>
      </c>
      <c r="H11" s="42" t="s">
        <v>1087</v>
      </c>
      <c r="I11" s="258" t="s">
        <v>1079</v>
      </c>
      <c r="J11" s="258">
        <v>32</v>
      </c>
      <c r="K11" s="258" t="s">
        <v>1130</v>
      </c>
      <c r="M11" s="13" t="str">
        <f>"COMMENT ON COLUMN PG_SILVER."&amp;G11&amp;"."&amp;H11&amp;" IS '"&amp;K11&amp;"';"</f>
        <v>COMMENT ON COLUMN PG_SILVER.AST_AR_INT_SMY.ORIG_AR_ID IS 'ID hợp đồng gốc';</v>
      </c>
    </row>
    <row r="12" spans="1:29">
      <c r="A12" s="285" t="s">
        <v>505</v>
      </c>
      <c r="B12" s="311" t="s">
        <v>506</v>
      </c>
      <c r="C12" s="285" t="s">
        <v>511</v>
      </c>
      <c r="D12" s="41" t="s">
        <v>1131</v>
      </c>
      <c r="E12" s="258" t="s">
        <v>217</v>
      </c>
      <c r="F12" s="258" t="s">
        <v>1090</v>
      </c>
      <c r="G12" s="31" t="s">
        <v>223</v>
      </c>
      <c r="H12" s="42" t="s">
        <v>1091</v>
      </c>
      <c r="I12" s="258" t="s">
        <v>1083</v>
      </c>
      <c r="J12" s="258">
        <v>40</v>
      </c>
      <c r="K12" s="258" t="s">
        <v>1092</v>
      </c>
      <c r="M12" s="13" t="str">
        <f>"COMMENT ON COLUMN PG_SILVER."&amp;G12&amp;"."&amp;H12&amp;" IS '"&amp;K12&amp;"';"</f>
        <v>COMMENT ON COLUMN PG_SILVER.AST_AR_INT_SMY.ORIG_AR_CODE IS 'Mã hợp đồng gốc';</v>
      </c>
    </row>
    <row r="13" spans="1:29">
      <c r="A13" s="285" t="s">
        <v>505</v>
      </c>
      <c r="B13" s="311" t="s">
        <v>506</v>
      </c>
      <c r="C13" s="41"/>
      <c r="D13" s="41" t="s">
        <v>1132</v>
      </c>
      <c r="E13" s="258" t="s">
        <v>217</v>
      </c>
      <c r="F13" s="258" t="s">
        <v>1133</v>
      </c>
      <c r="G13" s="16" t="s">
        <v>218</v>
      </c>
      <c r="H13" s="258" t="s">
        <v>296</v>
      </c>
      <c r="I13" s="258" t="s">
        <v>1106</v>
      </c>
      <c r="J13" s="258">
        <v>32.5</v>
      </c>
      <c r="K13" s="258" t="s">
        <v>1134</v>
      </c>
      <c r="M13" s="13" t="str">
        <f>"COMMENT ON COLUMN PG_SILVER."&amp;G13&amp;"."&amp;H13&amp;" IS '"&amp;K13&amp;"';"</f>
        <v>COMMENT ON COLUMN PG_SILVER.AR_TVR_SMY.CLS_BAL_FCY IS 'Dư nợ còn lại nguyên tệ';</v>
      </c>
    </row>
    <row r="14" spans="1:29">
      <c r="A14" s="285" t="s">
        <v>505</v>
      </c>
      <c r="B14" s="311" t="s">
        <v>506</v>
      </c>
      <c r="C14" s="41"/>
      <c r="D14" s="41" t="s">
        <v>1135</v>
      </c>
      <c r="E14" s="258" t="s">
        <v>217</v>
      </c>
      <c r="F14" s="258" t="s">
        <v>741</v>
      </c>
      <c r="G14" s="16" t="s">
        <v>218</v>
      </c>
      <c r="H14" s="258" t="s">
        <v>300</v>
      </c>
      <c r="I14" s="258" t="s">
        <v>1106</v>
      </c>
      <c r="J14" s="258">
        <v>32.5</v>
      </c>
      <c r="K14" s="258" t="s">
        <v>1136</v>
      </c>
      <c r="M14" s="13" t="str">
        <f>"COMMENT ON COLUMN PG_SILVER."&amp;G14&amp;"."&amp;H14&amp;" IS '"&amp;K14&amp;"';"</f>
        <v>COMMENT ON COLUMN PG_SILVER.AR_TVR_SMY.CLS_BAL_LCY IS 'Dư nợ còn lại quy đổi';</v>
      </c>
    </row>
    <row r="15" spans="1:29">
      <c r="A15" s="43"/>
      <c r="B15" s="43"/>
      <c r="C15" s="44"/>
      <c r="D15" s="45"/>
      <c r="E15" s="46" t="s">
        <v>217</v>
      </c>
      <c r="F15" s="43" t="s">
        <v>1137</v>
      </c>
      <c r="G15" s="47" t="s">
        <v>218</v>
      </c>
      <c r="H15" s="43" t="s">
        <v>1138</v>
      </c>
      <c r="I15" s="43" t="s">
        <v>1106</v>
      </c>
      <c r="J15" s="43">
        <v>32.5</v>
      </c>
      <c r="K15" s="43" t="s">
        <v>1139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</row>
    <row r="16" spans="1:29">
      <c r="A16" s="43"/>
      <c r="B16" s="43"/>
      <c r="C16" s="45"/>
      <c r="D16" s="45"/>
      <c r="E16" s="46" t="s">
        <v>217</v>
      </c>
      <c r="F16" s="43" t="s">
        <v>1140</v>
      </c>
      <c r="G16" s="47" t="s">
        <v>218</v>
      </c>
      <c r="H16" s="43" t="s">
        <v>1141</v>
      </c>
      <c r="I16" s="43" t="s">
        <v>1106</v>
      </c>
      <c r="J16" s="43">
        <v>32.5</v>
      </c>
      <c r="K16" s="43" t="s">
        <v>1142</v>
      </c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 spans="1:29">
      <c r="A17" s="43"/>
      <c r="B17" s="43"/>
      <c r="C17" s="45"/>
      <c r="D17" s="45"/>
      <c r="E17" s="46" t="s">
        <v>217</v>
      </c>
      <c r="F17" s="43" t="s">
        <v>1143</v>
      </c>
      <c r="G17" s="47" t="s">
        <v>218</v>
      </c>
      <c r="H17" s="43" t="s">
        <v>1144</v>
      </c>
      <c r="I17" s="43" t="s">
        <v>1106</v>
      </c>
      <c r="J17" s="43">
        <v>32.5</v>
      </c>
      <c r="K17" s="43" t="s">
        <v>1145</v>
      </c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 spans="1:29">
      <c r="C18" s="44"/>
      <c r="D18" s="44"/>
      <c r="E18" s="258" t="s">
        <v>217</v>
      </c>
      <c r="F18" s="13" t="s">
        <v>1146</v>
      </c>
      <c r="G18" s="16" t="s">
        <v>218</v>
      </c>
      <c r="H18" s="13" t="s">
        <v>1147</v>
      </c>
      <c r="I18" s="13" t="s">
        <v>1106</v>
      </c>
      <c r="J18" s="13">
        <v>32.5</v>
      </c>
      <c r="K18" s="13" t="s">
        <v>1148</v>
      </c>
    </row>
    <row r="19" spans="1:29">
      <c r="C19" s="44"/>
      <c r="D19" s="44"/>
      <c r="E19" s="258" t="s">
        <v>217</v>
      </c>
      <c r="F19" s="13" t="s">
        <v>1149</v>
      </c>
      <c r="G19" s="16" t="s">
        <v>218</v>
      </c>
      <c r="H19" s="13" t="s">
        <v>1150</v>
      </c>
      <c r="I19" s="13" t="s">
        <v>1106</v>
      </c>
      <c r="J19" s="13">
        <v>32.5</v>
      </c>
      <c r="K19" s="13" t="s">
        <v>1151</v>
      </c>
    </row>
    <row r="20" spans="1:29">
      <c r="C20" s="44"/>
      <c r="D20" s="44"/>
      <c r="E20" s="258" t="s">
        <v>217</v>
      </c>
      <c r="F20" s="13" t="s">
        <v>1152</v>
      </c>
      <c r="G20" s="16" t="s">
        <v>218</v>
      </c>
      <c r="H20" s="13" t="s">
        <v>1153</v>
      </c>
      <c r="I20" s="13" t="s">
        <v>1106</v>
      </c>
      <c r="J20" s="13">
        <v>32.5</v>
      </c>
      <c r="K20" s="13" t="s">
        <v>1154</v>
      </c>
    </row>
    <row r="21" spans="1:29">
      <c r="C21" s="44"/>
      <c r="D21" s="44"/>
      <c r="E21" s="258" t="s">
        <v>217</v>
      </c>
      <c r="F21" s="13" t="s">
        <v>1155</v>
      </c>
      <c r="G21" s="16" t="s">
        <v>218</v>
      </c>
      <c r="H21" s="13" t="s">
        <v>1156</v>
      </c>
      <c r="I21" s="13" t="s">
        <v>1106</v>
      </c>
      <c r="J21" s="13">
        <v>32.5</v>
      </c>
      <c r="K21" s="13" t="s">
        <v>1157</v>
      </c>
    </row>
    <row r="22" spans="1:29">
      <c r="C22" s="44"/>
      <c r="D22" s="44"/>
      <c r="E22" s="258" t="s">
        <v>217</v>
      </c>
      <c r="F22" s="13" t="s">
        <v>1158</v>
      </c>
      <c r="G22" s="16" t="s">
        <v>218</v>
      </c>
      <c r="H22" s="13" t="s">
        <v>1159</v>
      </c>
      <c r="I22" s="13" t="s">
        <v>1106</v>
      </c>
      <c r="J22" s="13">
        <v>32.5</v>
      </c>
      <c r="K22" s="13" t="s">
        <v>1160</v>
      </c>
    </row>
    <row r="23" spans="1:29">
      <c r="C23" s="44"/>
      <c r="D23" s="44"/>
      <c r="E23" s="258" t="s">
        <v>217</v>
      </c>
      <c r="F23" s="13" t="s">
        <v>1161</v>
      </c>
      <c r="G23" s="16" t="s">
        <v>218</v>
      </c>
      <c r="H23" s="13" t="s">
        <v>1162</v>
      </c>
      <c r="I23" s="13" t="s">
        <v>1106</v>
      </c>
      <c r="J23" s="13">
        <v>32.5</v>
      </c>
      <c r="K23" s="13" t="s">
        <v>1163</v>
      </c>
    </row>
    <row r="24" spans="1:29">
      <c r="C24" s="44"/>
      <c r="D24" s="44"/>
      <c r="E24" s="258" t="s">
        <v>217</v>
      </c>
      <c r="F24" s="13" t="s">
        <v>1164</v>
      </c>
      <c r="G24" s="16" t="s">
        <v>218</v>
      </c>
      <c r="H24" s="13" t="s">
        <v>1165</v>
      </c>
      <c r="I24" s="13" t="s">
        <v>1106</v>
      </c>
      <c r="J24" s="13">
        <v>32.5</v>
      </c>
      <c r="K24" s="13" t="s">
        <v>1166</v>
      </c>
    </row>
    <row r="25" spans="1:29">
      <c r="C25" s="44"/>
      <c r="D25" s="44"/>
      <c r="E25" s="258" t="s">
        <v>217</v>
      </c>
      <c r="F25" s="13" t="s">
        <v>1167</v>
      </c>
      <c r="G25" s="16" t="s">
        <v>218</v>
      </c>
      <c r="H25" s="13" t="s">
        <v>1168</v>
      </c>
      <c r="I25" s="13" t="s">
        <v>1106</v>
      </c>
      <c r="J25" s="13">
        <v>32.5</v>
      </c>
      <c r="K25" s="13" t="s">
        <v>1169</v>
      </c>
    </row>
    <row r="26" spans="1:29">
      <c r="C26" s="44"/>
      <c r="D26" s="44"/>
      <c r="E26" s="258" t="s">
        <v>217</v>
      </c>
      <c r="F26" s="13" t="s">
        <v>1170</v>
      </c>
      <c r="G26" s="16" t="s">
        <v>218</v>
      </c>
      <c r="H26" s="13" t="s">
        <v>1171</v>
      </c>
      <c r="I26" s="13" t="s">
        <v>1106</v>
      </c>
      <c r="J26" s="13">
        <v>32.5</v>
      </c>
      <c r="K26" s="13" t="s">
        <v>1172</v>
      </c>
    </row>
    <row r="27" spans="1:29">
      <c r="C27" s="44"/>
      <c r="D27" s="44"/>
      <c r="E27" s="258" t="s">
        <v>217</v>
      </c>
      <c r="F27" s="13" t="s">
        <v>1173</v>
      </c>
      <c r="G27" s="16" t="s">
        <v>218</v>
      </c>
      <c r="H27" s="13" t="s">
        <v>1174</v>
      </c>
      <c r="I27" s="13" t="s">
        <v>1106</v>
      </c>
      <c r="J27" s="13">
        <v>32.5</v>
      </c>
      <c r="K27" s="13" t="s">
        <v>1175</v>
      </c>
    </row>
    <row r="28" spans="1:29">
      <c r="C28" s="44"/>
      <c r="D28" s="44"/>
      <c r="E28" s="258" t="s">
        <v>217</v>
      </c>
      <c r="F28" s="13" t="s">
        <v>1176</v>
      </c>
      <c r="G28" s="16" t="s">
        <v>218</v>
      </c>
      <c r="H28" s="13" t="s">
        <v>1177</v>
      </c>
      <c r="I28" s="13" t="s">
        <v>1106</v>
      </c>
      <c r="J28" s="13">
        <v>32.5</v>
      </c>
      <c r="K28" s="13" t="s">
        <v>1178</v>
      </c>
    </row>
    <row r="29" spans="1:29">
      <c r="C29" s="44"/>
      <c r="D29" s="44"/>
      <c r="E29" s="258" t="s">
        <v>217</v>
      </c>
      <c r="F29" s="13" t="s">
        <v>1179</v>
      </c>
      <c r="G29" s="16" t="s">
        <v>218</v>
      </c>
      <c r="H29" s="13" t="s">
        <v>1180</v>
      </c>
      <c r="I29" s="13" t="s">
        <v>1106</v>
      </c>
      <c r="J29" s="13">
        <v>32.5</v>
      </c>
      <c r="K29" s="13" t="s">
        <v>1181</v>
      </c>
    </row>
    <row r="30" spans="1:29">
      <c r="C30" s="44"/>
      <c r="D30" s="44"/>
      <c r="E30" s="258" t="s">
        <v>217</v>
      </c>
      <c r="F30" s="13" t="s">
        <v>1182</v>
      </c>
      <c r="G30" s="16" t="s">
        <v>218</v>
      </c>
      <c r="H30" s="13" t="s">
        <v>1183</v>
      </c>
      <c r="I30" s="13" t="s">
        <v>1106</v>
      </c>
      <c r="J30" s="13">
        <v>32.5</v>
      </c>
      <c r="K30" s="13" t="s">
        <v>1184</v>
      </c>
    </row>
    <row r="31" spans="1:29">
      <c r="C31" s="44"/>
      <c r="D31" s="44"/>
    </row>
    <row r="32" spans="1:29">
      <c r="C32" s="44"/>
      <c r="D32" s="44"/>
    </row>
    <row r="33" spans="3:4">
      <c r="C33" s="44"/>
      <c r="D33" s="44"/>
    </row>
    <row r="34" spans="3:4">
      <c r="C34" s="44"/>
      <c r="D34" s="44"/>
    </row>
    <row r="35" spans="3:4">
      <c r="C35" s="44"/>
      <c r="D35" s="44"/>
    </row>
    <row r="36" spans="3:4">
      <c r="C36" s="44"/>
      <c r="D36" s="44"/>
    </row>
    <row r="37" spans="3:4">
      <c r="C37" s="44"/>
      <c r="D37" s="44"/>
    </row>
    <row r="38" spans="3:4">
      <c r="C38" s="44"/>
      <c r="D38" s="44"/>
    </row>
    <row r="39" spans="3:4">
      <c r="C39" s="44"/>
      <c r="D39" s="44"/>
    </row>
    <row r="40" spans="3:4">
      <c r="C40" s="44"/>
      <c r="D40" s="44"/>
    </row>
    <row r="41" spans="3:4">
      <c r="C41" s="44"/>
      <c r="D41" s="44"/>
    </row>
    <row r="42" spans="3:4">
      <c r="C42" s="44"/>
      <c r="D42" s="44"/>
    </row>
    <row r="43" spans="3:4">
      <c r="C43" s="44"/>
      <c r="D43" s="44"/>
    </row>
    <row r="44" spans="3:4">
      <c r="C44" s="44"/>
      <c r="D44" s="44"/>
    </row>
    <row r="45" spans="3:4">
      <c r="C45" s="44"/>
      <c r="D45" s="44"/>
    </row>
    <row r="46" spans="3:4">
      <c r="C46" s="44"/>
      <c r="D46" s="44"/>
    </row>
    <row r="47" spans="3:4">
      <c r="C47" s="44"/>
      <c r="D47" s="44"/>
    </row>
    <row r="48" spans="3:4">
      <c r="C48" s="44"/>
      <c r="D48" s="44"/>
    </row>
    <row r="49" spans="3:4">
      <c r="C49" s="44"/>
      <c r="D49" s="44"/>
    </row>
    <row r="50" spans="3:4">
      <c r="C50" s="44"/>
      <c r="D50" s="44"/>
    </row>
    <row r="51" spans="3:4">
      <c r="C51" s="44"/>
      <c r="D51" s="44"/>
    </row>
    <row r="52" spans="3:4">
      <c r="C52" s="44"/>
      <c r="D52" s="44"/>
    </row>
    <row r="53" spans="3:4">
      <c r="C53" s="44"/>
      <c r="D53" s="44"/>
    </row>
    <row r="54" spans="3:4">
      <c r="C54" s="44"/>
      <c r="D54" s="44"/>
    </row>
    <row r="55" spans="3:4">
      <c r="C55" s="44"/>
      <c r="D55" s="44"/>
    </row>
    <row r="56" spans="3:4">
      <c r="C56" s="44"/>
      <c r="D56" s="44"/>
    </row>
    <row r="57" spans="3:4">
      <c r="C57" s="44"/>
      <c r="D57" s="44"/>
    </row>
    <row r="58" spans="3:4">
      <c r="C58" s="44"/>
      <c r="D58" s="44"/>
    </row>
    <row r="59" spans="3:4">
      <c r="C59" s="44"/>
      <c r="D59" s="44"/>
    </row>
    <row r="60" spans="3:4">
      <c r="C60" s="44"/>
      <c r="D60" s="44"/>
    </row>
    <row r="61" spans="3:4">
      <c r="C61" s="44"/>
      <c r="D61" s="44"/>
    </row>
    <row r="62" spans="3:4">
      <c r="C62" s="44"/>
      <c r="D62" s="44"/>
    </row>
    <row r="63" spans="3:4">
      <c r="C63" s="44"/>
      <c r="D63" s="44"/>
    </row>
    <row r="64" spans="3:4">
      <c r="C64" s="44"/>
      <c r="D64" s="44"/>
    </row>
    <row r="65" spans="3:4">
      <c r="C65" s="44"/>
      <c r="D65" s="44"/>
    </row>
    <row r="66" spans="3:4">
      <c r="C66" s="44"/>
      <c r="D66" s="44"/>
    </row>
    <row r="67" spans="3:4">
      <c r="C67" s="44"/>
      <c r="D67" s="44"/>
    </row>
    <row r="68" spans="3:4">
      <c r="C68" s="44"/>
      <c r="D68" s="44"/>
    </row>
    <row r="69" spans="3:4">
      <c r="C69" s="44"/>
      <c r="D69" s="44"/>
    </row>
    <row r="70" spans="3:4">
      <c r="C70" s="44"/>
      <c r="D70" s="44"/>
    </row>
    <row r="71" spans="3:4">
      <c r="C71" s="44"/>
      <c r="D71" s="44"/>
    </row>
    <row r="72" spans="3:4">
      <c r="C72" s="44"/>
      <c r="D72" s="44"/>
    </row>
    <row r="73" spans="3:4">
      <c r="C73" s="44"/>
      <c r="D73" s="44"/>
    </row>
    <row r="74" spans="3:4">
      <c r="C74" s="44"/>
      <c r="D74" s="44"/>
    </row>
    <row r="75" spans="3:4">
      <c r="C75" s="44"/>
      <c r="D75" s="44"/>
    </row>
    <row r="76" spans="3:4">
      <c r="C76" s="44"/>
      <c r="D76" s="44"/>
    </row>
    <row r="77" spans="3:4">
      <c r="C77" s="44"/>
      <c r="D77" s="44"/>
    </row>
    <row r="78" spans="3:4">
      <c r="C78" s="44"/>
      <c r="D78" s="44"/>
    </row>
    <row r="79" spans="3:4">
      <c r="C79" s="44"/>
      <c r="D79" s="44"/>
    </row>
    <row r="80" spans="3:4">
      <c r="C80" s="44"/>
      <c r="D80" s="44"/>
    </row>
    <row r="81" spans="3:4">
      <c r="C81" s="44"/>
      <c r="D81" s="44"/>
    </row>
    <row r="82" spans="3:4">
      <c r="C82" s="44"/>
      <c r="D82" s="44"/>
    </row>
    <row r="83" spans="3:4">
      <c r="C83" s="44"/>
      <c r="D83" s="44"/>
    </row>
    <row r="84" spans="3:4">
      <c r="C84" s="44"/>
      <c r="D84" s="44"/>
    </row>
    <row r="85" spans="3:4">
      <c r="C85" s="44"/>
      <c r="D85" s="44"/>
    </row>
    <row r="86" spans="3:4">
      <c r="C86" s="44"/>
      <c r="D86" s="44"/>
    </row>
    <row r="87" spans="3:4">
      <c r="C87" s="44"/>
      <c r="D87" s="44"/>
    </row>
    <row r="88" spans="3:4">
      <c r="C88" s="44"/>
      <c r="D88" s="44"/>
    </row>
    <row r="89" spans="3:4">
      <c r="C89" s="44"/>
      <c r="D89" s="44"/>
    </row>
    <row r="90" spans="3:4">
      <c r="C90" s="44"/>
      <c r="D90" s="44"/>
    </row>
    <row r="91" spans="3:4">
      <c r="C91" s="44"/>
      <c r="D91" s="44"/>
    </row>
    <row r="92" spans="3:4">
      <c r="C92" s="44"/>
      <c r="D92" s="44"/>
    </row>
    <row r="93" spans="3:4">
      <c r="C93" s="44"/>
      <c r="D93" s="44"/>
    </row>
    <row r="94" spans="3:4">
      <c r="C94" s="44"/>
      <c r="D94" s="44"/>
    </row>
    <row r="95" spans="3:4">
      <c r="C95" s="44"/>
      <c r="D95" s="44"/>
    </row>
    <row r="96" spans="3:4">
      <c r="C96" s="44"/>
      <c r="D96" s="44"/>
    </row>
    <row r="97" spans="3:4">
      <c r="C97" s="44"/>
      <c r="D97" s="44"/>
    </row>
    <row r="98" spans="3:4">
      <c r="C98" s="44"/>
      <c r="D98" s="44"/>
    </row>
    <row r="99" spans="3:4">
      <c r="C99" s="44"/>
      <c r="D99" s="44"/>
    </row>
    <row r="100" spans="3:4">
      <c r="C100" s="44"/>
      <c r="D100" s="44"/>
    </row>
    <row r="101" spans="3:4">
      <c r="C101" s="44"/>
      <c r="D101" s="44"/>
    </row>
    <row r="102" spans="3:4">
      <c r="C102" s="44"/>
      <c r="D102" s="44"/>
    </row>
    <row r="103" spans="3:4">
      <c r="C103" s="44"/>
      <c r="D103" s="44"/>
    </row>
    <row r="104" spans="3:4">
      <c r="C104" s="44"/>
      <c r="D104" s="44"/>
    </row>
    <row r="105" spans="3:4">
      <c r="C105" s="44"/>
      <c r="D105" s="44"/>
    </row>
    <row r="106" spans="3:4">
      <c r="C106" s="44"/>
      <c r="D106" s="44"/>
    </row>
    <row r="107" spans="3:4">
      <c r="C107" s="44"/>
      <c r="D107" s="44"/>
    </row>
    <row r="108" spans="3:4">
      <c r="C108" s="44"/>
      <c r="D108" s="44"/>
    </row>
    <row r="109" spans="3:4">
      <c r="C109" s="44"/>
      <c r="D109" s="44"/>
    </row>
    <row r="110" spans="3:4">
      <c r="C110" s="44"/>
      <c r="D110" s="44"/>
    </row>
    <row r="111" spans="3:4">
      <c r="C111" s="44"/>
      <c r="D111" s="44"/>
    </row>
    <row r="112" spans="3:4">
      <c r="C112" s="44"/>
      <c r="D112" s="44"/>
    </row>
    <row r="113" spans="3:4">
      <c r="C113" s="44"/>
      <c r="D113" s="44"/>
    </row>
    <row r="114" spans="3:4">
      <c r="C114" s="44"/>
      <c r="D114" s="44"/>
    </row>
    <row r="115" spans="3:4">
      <c r="C115" s="44"/>
      <c r="D115" s="44"/>
    </row>
    <row r="116" spans="3:4">
      <c r="C116" s="44"/>
      <c r="D116" s="44"/>
    </row>
    <row r="117" spans="3:4">
      <c r="C117" s="44"/>
      <c r="D117" s="44"/>
    </row>
    <row r="118" spans="3:4">
      <c r="C118" s="44"/>
      <c r="D118" s="44"/>
    </row>
    <row r="119" spans="3:4">
      <c r="C119" s="44"/>
      <c r="D119" s="44"/>
    </row>
    <row r="120" spans="3:4">
      <c r="C120" s="44"/>
      <c r="D120" s="44"/>
    </row>
    <row r="121" spans="3:4">
      <c r="C121" s="44"/>
      <c r="D121" s="44"/>
    </row>
    <row r="122" spans="3:4">
      <c r="C122" s="44"/>
      <c r="D122" s="44"/>
    </row>
    <row r="123" spans="3:4">
      <c r="C123" s="44"/>
      <c r="D123" s="44"/>
    </row>
    <row r="124" spans="3:4">
      <c r="C124" s="44"/>
      <c r="D124" s="44"/>
    </row>
    <row r="125" spans="3:4">
      <c r="C125" s="44"/>
      <c r="D125" s="44"/>
    </row>
    <row r="126" spans="3:4">
      <c r="C126" s="44"/>
      <c r="D126" s="44"/>
    </row>
    <row r="127" spans="3:4">
      <c r="C127" s="44"/>
      <c r="D127" s="44"/>
    </row>
    <row r="128" spans="3:4">
      <c r="C128" s="44"/>
      <c r="D128" s="44"/>
    </row>
    <row r="129" spans="3:4">
      <c r="C129" s="44"/>
      <c r="D129" s="44"/>
    </row>
    <row r="130" spans="3:4">
      <c r="C130" s="44"/>
      <c r="D130" s="44"/>
    </row>
    <row r="131" spans="3:4">
      <c r="C131" s="44"/>
      <c r="D131" s="44"/>
    </row>
    <row r="132" spans="3:4">
      <c r="C132" s="44"/>
      <c r="D132" s="44"/>
    </row>
    <row r="133" spans="3:4">
      <c r="C133" s="44"/>
      <c r="D133" s="44"/>
    </row>
    <row r="134" spans="3:4">
      <c r="C134" s="44"/>
      <c r="D134" s="44"/>
    </row>
    <row r="135" spans="3:4">
      <c r="C135" s="44"/>
      <c r="D135" s="44"/>
    </row>
    <row r="136" spans="3:4">
      <c r="C136" s="44"/>
      <c r="D136" s="44"/>
    </row>
    <row r="137" spans="3:4">
      <c r="C137" s="44"/>
      <c r="D137" s="44"/>
    </row>
    <row r="138" spans="3:4">
      <c r="C138" s="44"/>
      <c r="D138" s="44"/>
    </row>
    <row r="139" spans="3:4">
      <c r="C139" s="44"/>
      <c r="D139" s="44"/>
    </row>
    <row r="140" spans="3:4">
      <c r="C140" s="44"/>
      <c r="D140" s="44"/>
    </row>
    <row r="141" spans="3:4">
      <c r="C141" s="44"/>
      <c r="D141" s="44"/>
    </row>
    <row r="142" spans="3:4">
      <c r="C142" s="44"/>
      <c r="D142" s="44"/>
    </row>
    <row r="143" spans="3:4">
      <c r="C143" s="44"/>
      <c r="D143" s="44"/>
    </row>
    <row r="144" spans="3:4">
      <c r="C144" s="44"/>
      <c r="D144" s="44"/>
    </row>
    <row r="145" spans="3:4">
      <c r="C145" s="44"/>
      <c r="D145" s="44"/>
    </row>
    <row r="146" spans="3:4">
      <c r="C146" s="44"/>
      <c r="D146" s="44"/>
    </row>
    <row r="147" spans="3:4">
      <c r="C147" s="44"/>
      <c r="D147" s="44"/>
    </row>
    <row r="148" spans="3:4">
      <c r="C148" s="44"/>
      <c r="D148" s="44"/>
    </row>
    <row r="149" spans="3:4">
      <c r="C149" s="44"/>
      <c r="D149" s="44"/>
    </row>
    <row r="150" spans="3:4">
      <c r="C150" s="44"/>
      <c r="D150" s="44"/>
    </row>
    <row r="151" spans="3:4">
      <c r="C151" s="44"/>
      <c r="D151" s="44"/>
    </row>
    <row r="152" spans="3:4">
      <c r="C152" s="44"/>
      <c r="D152" s="44"/>
    </row>
    <row r="153" spans="3:4">
      <c r="C153" s="44"/>
      <c r="D153" s="44"/>
    </row>
    <row r="154" spans="3:4">
      <c r="C154" s="44"/>
      <c r="D154" s="44"/>
    </row>
    <row r="155" spans="3:4">
      <c r="C155" s="44"/>
      <c r="D155" s="44"/>
    </row>
    <row r="156" spans="3:4">
      <c r="C156" s="44"/>
      <c r="D156" s="44"/>
    </row>
    <row r="157" spans="3:4">
      <c r="C157" s="44"/>
      <c r="D157" s="44"/>
    </row>
    <row r="158" spans="3:4">
      <c r="C158" s="44"/>
      <c r="D158" s="44"/>
    </row>
    <row r="159" spans="3:4">
      <c r="C159" s="44"/>
      <c r="D159" s="44"/>
    </row>
    <row r="160" spans="3:4">
      <c r="C160" s="44"/>
      <c r="D160" s="44"/>
    </row>
    <row r="161" spans="3:4">
      <c r="C161" s="44"/>
      <c r="D161" s="44"/>
    </row>
    <row r="162" spans="3:4">
      <c r="C162" s="44"/>
      <c r="D162" s="44"/>
    </row>
    <row r="163" spans="3:4">
      <c r="C163" s="44"/>
      <c r="D163" s="44"/>
    </row>
    <row r="164" spans="3:4">
      <c r="C164" s="44"/>
      <c r="D164" s="44"/>
    </row>
    <row r="165" spans="3:4">
      <c r="C165" s="44"/>
      <c r="D165" s="44"/>
    </row>
    <row r="166" spans="3:4">
      <c r="C166" s="44"/>
      <c r="D166" s="44"/>
    </row>
    <row r="167" spans="3:4">
      <c r="C167" s="44"/>
      <c r="D167" s="44"/>
    </row>
    <row r="168" spans="3:4">
      <c r="C168" s="44"/>
      <c r="D168" s="44"/>
    </row>
    <row r="169" spans="3:4">
      <c r="C169" s="44"/>
      <c r="D169" s="44"/>
    </row>
    <row r="170" spans="3:4">
      <c r="C170" s="44"/>
      <c r="D170" s="44"/>
    </row>
    <row r="171" spans="3:4">
      <c r="C171" s="44"/>
      <c r="D171" s="44"/>
    </row>
    <row r="172" spans="3:4">
      <c r="C172" s="44"/>
      <c r="D172" s="44"/>
    </row>
    <row r="173" spans="3:4">
      <c r="C173" s="44"/>
      <c r="D173" s="44"/>
    </row>
    <row r="174" spans="3:4">
      <c r="C174" s="44"/>
      <c r="D174" s="44"/>
    </row>
    <row r="175" spans="3:4">
      <c r="C175" s="44"/>
      <c r="D175" s="44"/>
    </row>
    <row r="176" spans="3:4">
      <c r="C176" s="44"/>
      <c r="D176" s="44"/>
    </row>
    <row r="177" spans="3:4">
      <c r="C177" s="44"/>
      <c r="D177" s="44"/>
    </row>
    <row r="178" spans="3:4">
      <c r="C178" s="44"/>
      <c r="D178" s="44"/>
    </row>
    <row r="179" spans="3:4">
      <c r="C179" s="44"/>
      <c r="D179" s="44"/>
    </row>
    <row r="180" spans="3:4">
      <c r="C180" s="44"/>
      <c r="D180" s="44"/>
    </row>
    <row r="181" spans="3:4">
      <c r="C181" s="44"/>
      <c r="D181" s="44"/>
    </row>
    <row r="182" spans="3:4">
      <c r="C182" s="44"/>
      <c r="D182" s="44"/>
    </row>
    <row r="183" spans="3:4">
      <c r="C183" s="44"/>
      <c r="D183" s="44"/>
    </row>
    <row r="184" spans="3:4">
      <c r="C184" s="44"/>
      <c r="D184" s="44"/>
    </row>
    <row r="185" spans="3:4">
      <c r="C185" s="44"/>
      <c r="D185" s="44"/>
    </row>
    <row r="186" spans="3:4">
      <c r="C186" s="44"/>
      <c r="D186" s="44"/>
    </row>
    <row r="187" spans="3:4">
      <c r="C187" s="44"/>
      <c r="D187" s="44"/>
    </row>
    <row r="188" spans="3:4">
      <c r="C188" s="44"/>
      <c r="D188" s="44"/>
    </row>
    <row r="189" spans="3:4">
      <c r="C189" s="44"/>
      <c r="D189" s="44"/>
    </row>
    <row r="190" spans="3:4">
      <c r="C190" s="44"/>
      <c r="D190" s="44"/>
    </row>
    <row r="191" spans="3:4">
      <c r="C191" s="44"/>
      <c r="D191" s="44"/>
    </row>
    <row r="192" spans="3:4">
      <c r="C192" s="44"/>
      <c r="D192" s="44"/>
    </row>
    <row r="193" spans="3:4">
      <c r="C193" s="44"/>
      <c r="D193" s="44"/>
    </row>
    <row r="194" spans="3:4">
      <c r="C194" s="44"/>
      <c r="D194" s="44"/>
    </row>
    <row r="195" spans="3:4">
      <c r="C195" s="44"/>
      <c r="D195" s="44"/>
    </row>
    <row r="196" spans="3:4">
      <c r="C196" s="44"/>
      <c r="D196" s="44"/>
    </row>
    <row r="197" spans="3:4">
      <c r="C197" s="44"/>
      <c r="D197" s="44"/>
    </row>
    <row r="198" spans="3:4">
      <c r="C198" s="44"/>
      <c r="D198" s="44"/>
    </row>
    <row r="199" spans="3:4">
      <c r="C199" s="44"/>
      <c r="D199" s="44"/>
    </row>
    <row r="200" spans="3:4">
      <c r="C200" s="44"/>
      <c r="D200" s="44"/>
    </row>
    <row r="201" spans="3:4">
      <c r="C201" s="44"/>
      <c r="D201" s="44"/>
    </row>
    <row r="202" spans="3:4">
      <c r="C202" s="44"/>
      <c r="D202" s="44"/>
    </row>
    <row r="203" spans="3:4">
      <c r="C203" s="44"/>
      <c r="D203" s="44"/>
    </row>
    <row r="204" spans="3:4">
      <c r="C204" s="44"/>
      <c r="D204" s="44"/>
    </row>
    <row r="205" spans="3:4">
      <c r="C205" s="44"/>
      <c r="D205" s="44"/>
    </row>
    <row r="206" spans="3:4">
      <c r="C206" s="44"/>
      <c r="D206" s="44"/>
    </row>
    <row r="207" spans="3:4">
      <c r="C207" s="44"/>
      <c r="D207" s="44"/>
    </row>
    <row r="208" spans="3:4">
      <c r="C208" s="44"/>
      <c r="D208" s="44"/>
    </row>
    <row r="209" spans="3:4">
      <c r="C209" s="44"/>
      <c r="D209" s="44"/>
    </row>
    <row r="210" spans="3:4">
      <c r="C210" s="44"/>
      <c r="D210" s="44"/>
    </row>
    <row r="211" spans="3:4">
      <c r="C211" s="44"/>
      <c r="D211" s="44"/>
    </row>
    <row r="212" spans="3:4">
      <c r="C212" s="44"/>
      <c r="D212" s="44"/>
    </row>
    <row r="213" spans="3:4">
      <c r="C213" s="44"/>
      <c r="D213" s="44"/>
    </row>
    <row r="214" spans="3:4">
      <c r="C214" s="44"/>
      <c r="D214" s="44"/>
    </row>
    <row r="215" spans="3:4">
      <c r="C215" s="44"/>
      <c r="D215" s="44"/>
    </row>
    <row r="216" spans="3:4">
      <c r="C216" s="44"/>
      <c r="D216" s="44"/>
    </row>
    <row r="217" spans="3:4">
      <c r="C217" s="44"/>
      <c r="D217" s="44"/>
    </row>
    <row r="218" spans="3:4">
      <c r="C218" s="44"/>
      <c r="D218" s="44"/>
    </row>
    <row r="219" spans="3:4">
      <c r="C219" s="44"/>
      <c r="D219" s="44"/>
    </row>
    <row r="220" spans="3:4">
      <c r="C220" s="44"/>
      <c r="D220" s="44"/>
    </row>
    <row r="221" spans="3:4">
      <c r="C221" s="44"/>
      <c r="D221" s="44"/>
    </row>
    <row r="222" spans="3:4">
      <c r="C222" s="44"/>
      <c r="D222" s="44"/>
    </row>
    <row r="223" spans="3:4">
      <c r="C223" s="44"/>
      <c r="D223" s="44"/>
    </row>
    <row r="224" spans="3:4">
      <c r="C224" s="44"/>
      <c r="D224" s="44"/>
    </row>
    <row r="225" spans="3:4">
      <c r="C225" s="44"/>
      <c r="D225" s="44"/>
    </row>
    <row r="226" spans="3:4">
      <c r="C226" s="44"/>
      <c r="D226" s="44"/>
    </row>
    <row r="227" spans="3:4">
      <c r="C227" s="44"/>
      <c r="D227" s="44"/>
    </row>
    <row r="228" spans="3:4">
      <c r="C228" s="44"/>
      <c r="D228" s="44"/>
    </row>
    <row r="229" spans="3:4">
      <c r="C229" s="44"/>
      <c r="D229" s="44"/>
    </row>
    <row r="230" spans="3:4">
      <c r="C230" s="44"/>
      <c r="D230" s="44"/>
    </row>
    <row r="231" spans="3:4">
      <c r="C231" s="44"/>
      <c r="D231" s="44"/>
    </row>
    <row r="232" spans="3:4">
      <c r="C232" s="44"/>
      <c r="D232" s="44"/>
    </row>
    <row r="233" spans="3:4">
      <c r="C233" s="44"/>
      <c r="D233" s="44"/>
    </row>
    <row r="234" spans="3:4">
      <c r="C234" s="44"/>
      <c r="D234" s="44"/>
    </row>
    <row r="235" spans="3:4">
      <c r="C235" s="44"/>
      <c r="D235" s="44"/>
    </row>
    <row r="236" spans="3:4">
      <c r="C236" s="44"/>
      <c r="D236" s="44"/>
    </row>
    <row r="237" spans="3:4">
      <c r="C237" s="44"/>
      <c r="D237" s="44"/>
    </row>
    <row r="238" spans="3:4">
      <c r="C238" s="44"/>
      <c r="D238" s="44"/>
    </row>
    <row r="239" spans="3:4">
      <c r="C239" s="44"/>
      <c r="D239" s="44"/>
    </row>
    <row r="240" spans="3:4">
      <c r="C240" s="44"/>
      <c r="D240" s="44"/>
    </row>
    <row r="241" spans="3:4">
      <c r="C241" s="44"/>
      <c r="D241" s="44"/>
    </row>
    <row r="242" spans="3:4">
      <c r="C242" s="44"/>
      <c r="D242" s="44"/>
    </row>
    <row r="243" spans="3:4">
      <c r="C243" s="44"/>
      <c r="D243" s="44"/>
    </row>
    <row r="244" spans="3:4">
      <c r="C244" s="44"/>
      <c r="D244" s="44"/>
    </row>
    <row r="245" spans="3:4">
      <c r="C245" s="44"/>
      <c r="D245" s="44"/>
    </row>
    <row r="246" spans="3:4">
      <c r="C246" s="44"/>
      <c r="D246" s="44"/>
    </row>
    <row r="247" spans="3:4">
      <c r="C247" s="44"/>
      <c r="D247" s="44"/>
    </row>
    <row r="248" spans="3:4">
      <c r="C248" s="44"/>
      <c r="D248" s="44"/>
    </row>
    <row r="249" spans="3:4">
      <c r="C249" s="44"/>
      <c r="D249" s="44"/>
    </row>
    <row r="250" spans="3:4">
      <c r="C250" s="44"/>
      <c r="D250" s="44"/>
    </row>
    <row r="251" spans="3:4">
      <c r="C251" s="44"/>
      <c r="D251" s="44"/>
    </row>
    <row r="252" spans="3:4">
      <c r="C252" s="44"/>
      <c r="D252" s="44"/>
    </row>
    <row r="253" spans="3:4">
      <c r="C253" s="44"/>
      <c r="D253" s="44"/>
    </row>
    <row r="254" spans="3:4">
      <c r="C254" s="44"/>
      <c r="D254" s="44"/>
    </row>
    <row r="255" spans="3:4">
      <c r="C255" s="44"/>
      <c r="D255" s="44"/>
    </row>
    <row r="256" spans="3:4">
      <c r="C256" s="44"/>
      <c r="D256" s="44"/>
    </row>
    <row r="257" spans="3:4">
      <c r="C257" s="44"/>
      <c r="D257" s="44"/>
    </row>
    <row r="258" spans="3:4">
      <c r="C258" s="44"/>
      <c r="D258" s="44"/>
    </row>
    <row r="259" spans="3:4">
      <c r="C259" s="44"/>
      <c r="D259" s="44"/>
    </row>
    <row r="260" spans="3:4">
      <c r="C260" s="44"/>
      <c r="D260" s="44"/>
    </row>
    <row r="261" spans="3:4">
      <c r="C261" s="44"/>
      <c r="D261" s="44"/>
    </row>
    <row r="262" spans="3:4">
      <c r="C262" s="44"/>
      <c r="D262" s="44"/>
    </row>
    <row r="263" spans="3:4">
      <c r="C263" s="44"/>
      <c r="D263" s="44"/>
    </row>
    <row r="264" spans="3:4">
      <c r="C264" s="44"/>
      <c r="D264" s="44"/>
    </row>
    <row r="265" spans="3:4">
      <c r="C265" s="44"/>
      <c r="D265" s="44"/>
    </row>
    <row r="266" spans="3:4">
      <c r="C266" s="44"/>
      <c r="D266" s="44"/>
    </row>
    <row r="267" spans="3:4">
      <c r="C267" s="44"/>
      <c r="D267" s="44"/>
    </row>
    <row r="268" spans="3:4">
      <c r="C268" s="44"/>
      <c r="D268" s="44"/>
    </row>
    <row r="269" spans="3:4">
      <c r="C269" s="44"/>
      <c r="D269" s="44"/>
    </row>
    <row r="270" spans="3:4">
      <c r="C270" s="44"/>
      <c r="D270" s="44"/>
    </row>
    <row r="271" spans="3:4">
      <c r="C271" s="44"/>
      <c r="D271" s="44"/>
    </row>
    <row r="272" spans="3:4">
      <c r="C272" s="44"/>
      <c r="D272" s="44"/>
    </row>
    <row r="273" spans="3:4">
      <c r="C273" s="44"/>
      <c r="D273" s="44"/>
    </row>
    <row r="274" spans="3:4">
      <c r="C274" s="44"/>
      <c r="D274" s="44"/>
    </row>
    <row r="275" spans="3:4">
      <c r="C275" s="44"/>
      <c r="D275" s="44"/>
    </row>
    <row r="276" spans="3:4">
      <c r="C276" s="44"/>
      <c r="D276" s="44"/>
    </row>
    <row r="277" spans="3:4">
      <c r="C277" s="44"/>
      <c r="D277" s="44"/>
    </row>
    <row r="278" spans="3:4">
      <c r="C278" s="44"/>
      <c r="D278" s="44"/>
    </row>
    <row r="279" spans="3:4">
      <c r="C279" s="44"/>
      <c r="D279" s="44"/>
    </row>
    <row r="280" spans="3:4">
      <c r="C280" s="44"/>
      <c r="D280" s="44"/>
    </row>
    <row r="281" spans="3:4">
      <c r="C281" s="44"/>
      <c r="D281" s="44"/>
    </row>
    <row r="282" spans="3:4">
      <c r="C282" s="44"/>
      <c r="D282" s="44"/>
    </row>
    <row r="283" spans="3:4">
      <c r="C283" s="44"/>
      <c r="D283" s="44"/>
    </row>
    <row r="284" spans="3:4">
      <c r="C284" s="44"/>
      <c r="D284" s="44"/>
    </row>
    <row r="285" spans="3:4">
      <c r="C285" s="44"/>
      <c r="D285" s="44"/>
    </row>
    <row r="286" spans="3:4">
      <c r="C286" s="44"/>
      <c r="D286" s="44"/>
    </row>
    <row r="287" spans="3:4">
      <c r="C287" s="44"/>
      <c r="D287" s="44"/>
    </row>
    <row r="288" spans="3:4">
      <c r="C288" s="44"/>
      <c r="D288" s="44"/>
    </row>
    <row r="289" spans="3:4">
      <c r="C289" s="44"/>
      <c r="D289" s="44"/>
    </row>
    <row r="290" spans="3:4">
      <c r="C290" s="44"/>
      <c r="D290" s="44"/>
    </row>
    <row r="291" spans="3:4">
      <c r="C291" s="44"/>
      <c r="D291" s="44"/>
    </row>
    <row r="292" spans="3:4">
      <c r="C292" s="44"/>
      <c r="D292" s="44"/>
    </row>
    <row r="293" spans="3:4">
      <c r="C293" s="44"/>
      <c r="D293" s="44"/>
    </row>
    <row r="294" spans="3:4">
      <c r="C294" s="44"/>
      <c r="D294" s="44"/>
    </row>
    <row r="295" spans="3:4">
      <c r="C295" s="44"/>
      <c r="D295" s="44"/>
    </row>
    <row r="296" spans="3:4">
      <c r="C296" s="44"/>
      <c r="D296" s="44"/>
    </row>
    <row r="297" spans="3:4">
      <c r="C297" s="44"/>
      <c r="D297" s="44"/>
    </row>
    <row r="298" spans="3:4">
      <c r="C298" s="44"/>
      <c r="D298" s="44"/>
    </row>
    <row r="299" spans="3:4">
      <c r="C299" s="44"/>
      <c r="D299" s="44"/>
    </row>
    <row r="300" spans="3:4">
      <c r="C300" s="44"/>
      <c r="D300" s="44"/>
    </row>
    <row r="301" spans="3:4">
      <c r="C301" s="44"/>
      <c r="D301" s="44"/>
    </row>
    <row r="302" spans="3:4">
      <c r="C302" s="44"/>
      <c r="D302" s="44"/>
    </row>
    <row r="303" spans="3:4">
      <c r="C303" s="44"/>
      <c r="D303" s="44"/>
    </row>
    <row r="304" spans="3:4">
      <c r="C304" s="44"/>
      <c r="D304" s="44"/>
    </row>
    <row r="305" spans="3:4">
      <c r="C305" s="44"/>
      <c r="D305" s="44"/>
    </row>
    <row r="306" spans="3:4">
      <c r="C306" s="44"/>
      <c r="D306" s="44"/>
    </row>
    <row r="307" spans="3:4">
      <c r="C307" s="44"/>
      <c r="D307" s="44"/>
    </row>
    <row r="308" spans="3:4">
      <c r="C308" s="44"/>
      <c r="D308" s="44"/>
    </row>
    <row r="309" spans="3:4">
      <c r="C309" s="44"/>
      <c r="D309" s="44"/>
    </row>
    <row r="310" spans="3:4">
      <c r="C310" s="44"/>
      <c r="D310" s="44"/>
    </row>
    <row r="311" spans="3:4">
      <c r="C311" s="44"/>
      <c r="D311" s="44"/>
    </row>
    <row r="312" spans="3:4">
      <c r="C312" s="44"/>
      <c r="D312" s="44"/>
    </row>
    <row r="313" spans="3:4">
      <c r="C313" s="44"/>
      <c r="D313" s="44"/>
    </row>
    <row r="314" spans="3:4">
      <c r="C314" s="44"/>
      <c r="D314" s="44"/>
    </row>
    <row r="315" spans="3:4">
      <c r="C315" s="44"/>
      <c r="D315" s="44"/>
    </row>
    <row r="316" spans="3:4">
      <c r="C316" s="44"/>
      <c r="D316" s="44"/>
    </row>
    <row r="317" spans="3:4">
      <c r="C317" s="44"/>
      <c r="D317" s="44"/>
    </row>
    <row r="318" spans="3:4">
      <c r="C318" s="44"/>
      <c r="D318" s="44"/>
    </row>
    <row r="319" spans="3:4">
      <c r="C319" s="44"/>
      <c r="D319" s="44"/>
    </row>
    <row r="320" spans="3:4">
      <c r="C320" s="44"/>
      <c r="D320" s="44"/>
    </row>
    <row r="321" spans="3:4">
      <c r="C321" s="44"/>
      <c r="D321" s="44"/>
    </row>
    <row r="322" spans="3:4">
      <c r="C322" s="44"/>
      <c r="D322" s="44"/>
    </row>
    <row r="323" spans="3:4">
      <c r="C323" s="44"/>
      <c r="D323" s="44"/>
    </row>
    <row r="324" spans="3:4">
      <c r="C324" s="44"/>
      <c r="D324" s="44"/>
    </row>
    <row r="325" spans="3:4">
      <c r="C325" s="44"/>
      <c r="D325" s="44"/>
    </row>
    <row r="326" spans="3:4">
      <c r="C326" s="44"/>
      <c r="D326" s="44"/>
    </row>
    <row r="327" spans="3:4">
      <c r="C327" s="44"/>
      <c r="D327" s="44"/>
    </row>
    <row r="328" spans="3:4">
      <c r="C328" s="44"/>
      <c r="D328" s="44"/>
    </row>
    <row r="329" spans="3:4">
      <c r="C329" s="44"/>
      <c r="D329" s="44"/>
    </row>
    <row r="330" spans="3:4">
      <c r="C330" s="44"/>
      <c r="D330" s="44"/>
    </row>
    <row r="331" spans="3:4">
      <c r="C331" s="44"/>
      <c r="D331" s="44"/>
    </row>
    <row r="332" spans="3:4">
      <c r="C332" s="44"/>
      <c r="D332" s="44"/>
    </row>
    <row r="333" spans="3:4">
      <c r="C333" s="44"/>
      <c r="D333" s="44"/>
    </row>
    <row r="334" spans="3:4">
      <c r="C334" s="44"/>
      <c r="D334" s="44"/>
    </row>
    <row r="335" spans="3:4">
      <c r="C335" s="44"/>
      <c r="D335" s="44"/>
    </row>
    <row r="336" spans="3:4">
      <c r="C336" s="44"/>
      <c r="D336" s="44"/>
    </row>
    <row r="337" spans="3:4">
      <c r="C337" s="44"/>
      <c r="D337" s="44"/>
    </row>
    <row r="338" spans="3:4">
      <c r="C338" s="44"/>
      <c r="D338" s="44"/>
    </row>
    <row r="339" spans="3:4">
      <c r="C339" s="44"/>
      <c r="D339" s="44"/>
    </row>
    <row r="340" spans="3:4">
      <c r="C340" s="44"/>
      <c r="D340" s="44"/>
    </row>
    <row r="341" spans="3:4">
      <c r="C341" s="44"/>
      <c r="D341" s="44"/>
    </row>
    <row r="342" spans="3:4">
      <c r="C342" s="44"/>
      <c r="D342" s="44"/>
    </row>
    <row r="343" spans="3:4">
      <c r="C343" s="44"/>
      <c r="D343" s="44"/>
    </row>
    <row r="344" spans="3:4">
      <c r="C344" s="44"/>
      <c r="D344" s="44"/>
    </row>
    <row r="345" spans="3:4">
      <c r="C345" s="44"/>
      <c r="D345" s="44"/>
    </row>
    <row r="346" spans="3:4">
      <c r="C346" s="44"/>
      <c r="D346" s="44"/>
    </row>
    <row r="347" spans="3:4">
      <c r="C347" s="44"/>
      <c r="D347" s="44"/>
    </row>
    <row r="348" spans="3:4">
      <c r="C348" s="44"/>
      <c r="D348" s="44"/>
    </row>
    <row r="349" spans="3:4">
      <c r="C349" s="44"/>
      <c r="D349" s="44"/>
    </row>
    <row r="350" spans="3:4">
      <c r="C350" s="44"/>
      <c r="D350" s="44"/>
    </row>
    <row r="351" spans="3:4">
      <c r="C351" s="44"/>
      <c r="D351" s="44"/>
    </row>
    <row r="352" spans="3:4">
      <c r="C352" s="44"/>
      <c r="D352" s="44"/>
    </row>
    <row r="353" spans="3:4">
      <c r="C353" s="44"/>
      <c r="D353" s="44"/>
    </row>
    <row r="354" spans="3:4">
      <c r="C354" s="44"/>
      <c r="D354" s="44"/>
    </row>
    <row r="355" spans="3:4">
      <c r="C355" s="44"/>
      <c r="D355" s="44"/>
    </row>
    <row r="356" spans="3:4">
      <c r="C356" s="44"/>
      <c r="D356" s="44"/>
    </row>
    <row r="357" spans="3:4">
      <c r="C357" s="44"/>
      <c r="D357" s="44"/>
    </row>
    <row r="358" spans="3:4">
      <c r="C358" s="44"/>
      <c r="D358" s="44"/>
    </row>
    <row r="359" spans="3:4">
      <c r="C359" s="44"/>
      <c r="D359" s="44"/>
    </row>
    <row r="360" spans="3:4">
      <c r="C360" s="44"/>
      <c r="D360" s="44"/>
    </row>
    <row r="361" spans="3:4">
      <c r="C361" s="44"/>
      <c r="D361" s="44"/>
    </row>
    <row r="362" spans="3:4">
      <c r="C362" s="44"/>
      <c r="D362" s="44"/>
    </row>
    <row r="363" spans="3:4">
      <c r="C363" s="44"/>
      <c r="D363" s="44"/>
    </row>
    <row r="364" spans="3:4">
      <c r="C364" s="44"/>
      <c r="D364" s="44"/>
    </row>
    <row r="365" spans="3:4">
      <c r="C365" s="44"/>
      <c r="D365" s="44"/>
    </row>
    <row r="366" spans="3:4">
      <c r="C366" s="44"/>
      <c r="D366" s="44"/>
    </row>
    <row r="367" spans="3:4">
      <c r="C367" s="44"/>
      <c r="D367" s="44"/>
    </row>
    <row r="368" spans="3:4">
      <c r="C368" s="44"/>
      <c r="D368" s="44"/>
    </row>
    <row r="369" spans="3:4">
      <c r="C369" s="44"/>
      <c r="D369" s="44"/>
    </row>
    <row r="370" spans="3:4">
      <c r="C370" s="44"/>
      <c r="D370" s="44"/>
    </row>
    <row r="371" spans="3:4">
      <c r="C371" s="44"/>
      <c r="D371" s="44"/>
    </row>
    <row r="372" spans="3:4">
      <c r="C372" s="44"/>
      <c r="D372" s="44"/>
    </row>
    <row r="373" spans="3:4">
      <c r="C373" s="44"/>
      <c r="D373" s="44"/>
    </row>
    <row r="374" spans="3:4">
      <c r="C374" s="44"/>
      <c r="D374" s="44"/>
    </row>
    <row r="375" spans="3:4">
      <c r="C375" s="44"/>
      <c r="D375" s="44"/>
    </row>
    <row r="376" spans="3:4">
      <c r="C376" s="44"/>
      <c r="D376" s="44"/>
    </row>
    <row r="377" spans="3:4">
      <c r="C377" s="44"/>
      <c r="D377" s="44"/>
    </row>
    <row r="378" spans="3:4">
      <c r="C378" s="44"/>
      <c r="D378" s="44"/>
    </row>
    <row r="379" spans="3:4">
      <c r="C379" s="44"/>
      <c r="D379" s="44"/>
    </row>
    <row r="380" spans="3:4">
      <c r="C380" s="44"/>
      <c r="D380" s="44"/>
    </row>
    <row r="381" spans="3:4">
      <c r="C381" s="44"/>
      <c r="D381" s="44"/>
    </row>
    <row r="382" spans="3:4">
      <c r="C382" s="44"/>
      <c r="D382" s="44"/>
    </row>
    <row r="383" spans="3:4">
      <c r="C383" s="44"/>
      <c r="D383" s="44"/>
    </row>
    <row r="384" spans="3:4">
      <c r="C384" s="44"/>
      <c r="D384" s="44"/>
    </row>
    <row r="385" spans="3:4">
      <c r="C385" s="44"/>
      <c r="D385" s="44"/>
    </row>
    <row r="386" spans="3:4">
      <c r="C386" s="44"/>
      <c r="D386" s="44"/>
    </row>
    <row r="387" spans="3:4">
      <c r="C387" s="44"/>
      <c r="D387" s="44"/>
    </row>
    <row r="388" spans="3:4">
      <c r="C388" s="44"/>
      <c r="D388" s="44"/>
    </row>
    <row r="389" spans="3:4">
      <c r="C389" s="44"/>
      <c r="D389" s="44"/>
    </row>
    <row r="390" spans="3:4">
      <c r="C390" s="44"/>
      <c r="D390" s="44"/>
    </row>
    <row r="391" spans="3:4">
      <c r="C391" s="44"/>
      <c r="D391" s="44"/>
    </row>
    <row r="392" spans="3:4">
      <c r="C392" s="44"/>
      <c r="D392" s="44"/>
    </row>
    <row r="393" spans="3:4">
      <c r="C393" s="44"/>
      <c r="D393" s="44"/>
    </row>
    <row r="394" spans="3:4">
      <c r="C394" s="44"/>
      <c r="D394" s="44"/>
    </row>
    <row r="395" spans="3:4">
      <c r="C395" s="44"/>
      <c r="D395" s="44"/>
    </row>
    <row r="396" spans="3:4">
      <c r="C396" s="44"/>
      <c r="D396" s="44"/>
    </row>
    <row r="397" spans="3:4">
      <c r="C397" s="44"/>
      <c r="D397" s="44"/>
    </row>
    <row r="398" spans="3:4">
      <c r="C398" s="44"/>
      <c r="D398" s="44"/>
    </row>
    <row r="399" spans="3:4">
      <c r="C399" s="44"/>
      <c r="D399" s="44"/>
    </row>
    <row r="400" spans="3:4">
      <c r="C400" s="44"/>
      <c r="D400" s="44"/>
    </row>
    <row r="401" spans="3:4">
      <c r="C401" s="44"/>
      <c r="D401" s="44"/>
    </row>
    <row r="402" spans="3:4">
      <c r="C402" s="44"/>
      <c r="D402" s="44"/>
    </row>
    <row r="403" spans="3:4">
      <c r="C403" s="44"/>
      <c r="D403" s="44"/>
    </row>
    <row r="404" spans="3:4">
      <c r="C404" s="44"/>
      <c r="D404" s="44"/>
    </row>
    <row r="405" spans="3:4">
      <c r="C405" s="44"/>
      <c r="D405" s="44"/>
    </row>
    <row r="406" spans="3:4">
      <c r="C406" s="44"/>
      <c r="D406" s="44"/>
    </row>
    <row r="407" spans="3:4">
      <c r="C407" s="44"/>
      <c r="D407" s="44"/>
    </row>
    <row r="408" spans="3:4">
      <c r="C408" s="44"/>
      <c r="D408" s="44"/>
    </row>
    <row r="409" spans="3:4">
      <c r="C409" s="44"/>
      <c r="D409" s="44"/>
    </row>
    <row r="410" spans="3:4">
      <c r="C410" s="44"/>
      <c r="D410" s="44"/>
    </row>
    <row r="411" spans="3:4">
      <c r="C411" s="44"/>
      <c r="D411" s="44"/>
    </row>
    <row r="412" spans="3:4">
      <c r="C412" s="44"/>
      <c r="D412" s="44"/>
    </row>
    <row r="413" spans="3:4">
      <c r="C413" s="44"/>
      <c r="D413" s="44"/>
    </row>
    <row r="414" spans="3:4">
      <c r="C414" s="44"/>
      <c r="D414" s="44"/>
    </row>
    <row r="415" spans="3:4">
      <c r="C415" s="44"/>
      <c r="D415" s="44"/>
    </row>
    <row r="416" spans="3:4">
      <c r="C416" s="44"/>
      <c r="D416" s="44"/>
    </row>
    <row r="417" spans="3:4">
      <c r="C417" s="44"/>
      <c r="D417" s="44"/>
    </row>
    <row r="418" spans="3:4">
      <c r="C418" s="44"/>
      <c r="D418" s="44"/>
    </row>
    <row r="419" spans="3:4">
      <c r="C419" s="44"/>
      <c r="D419" s="44"/>
    </row>
    <row r="420" spans="3:4">
      <c r="C420" s="44"/>
      <c r="D420" s="44"/>
    </row>
    <row r="421" spans="3:4">
      <c r="C421" s="44"/>
      <c r="D421" s="44"/>
    </row>
    <row r="422" spans="3:4">
      <c r="C422" s="44"/>
      <c r="D422" s="44"/>
    </row>
    <row r="423" spans="3:4">
      <c r="C423" s="44"/>
      <c r="D423" s="44"/>
    </row>
    <row r="424" spans="3:4">
      <c r="C424" s="44"/>
      <c r="D424" s="44"/>
    </row>
    <row r="425" spans="3:4">
      <c r="C425" s="44"/>
      <c r="D425" s="44"/>
    </row>
    <row r="426" spans="3:4">
      <c r="C426" s="44"/>
      <c r="D426" s="44"/>
    </row>
    <row r="427" spans="3:4">
      <c r="C427" s="44"/>
      <c r="D427" s="44"/>
    </row>
    <row r="428" spans="3:4">
      <c r="C428" s="44"/>
      <c r="D428" s="44"/>
    </row>
    <row r="429" spans="3:4">
      <c r="C429" s="44"/>
      <c r="D429" s="44"/>
    </row>
    <row r="430" spans="3:4">
      <c r="C430" s="44"/>
      <c r="D430" s="44"/>
    </row>
    <row r="431" spans="3:4">
      <c r="C431" s="44"/>
      <c r="D431" s="44"/>
    </row>
    <row r="432" spans="3:4">
      <c r="C432" s="44"/>
      <c r="D432" s="44"/>
    </row>
    <row r="433" spans="3:4">
      <c r="C433" s="44"/>
      <c r="D433" s="44"/>
    </row>
    <row r="434" spans="3:4">
      <c r="C434" s="44"/>
      <c r="D434" s="44"/>
    </row>
    <row r="435" spans="3:4">
      <c r="C435" s="44"/>
      <c r="D435" s="44"/>
    </row>
    <row r="436" spans="3:4">
      <c r="C436" s="44"/>
      <c r="D436" s="44"/>
    </row>
    <row r="437" spans="3:4">
      <c r="C437" s="44"/>
      <c r="D437" s="44"/>
    </row>
    <row r="438" spans="3:4">
      <c r="C438" s="44"/>
      <c r="D438" s="44"/>
    </row>
    <row r="439" spans="3:4">
      <c r="C439" s="44"/>
      <c r="D439" s="44"/>
    </row>
    <row r="440" spans="3:4">
      <c r="C440" s="44"/>
      <c r="D440" s="44"/>
    </row>
    <row r="441" spans="3:4">
      <c r="C441" s="44"/>
      <c r="D441" s="44"/>
    </row>
    <row r="442" spans="3:4">
      <c r="C442" s="44"/>
      <c r="D442" s="44"/>
    </row>
    <row r="443" spans="3:4">
      <c r="C443" s="44"/>
      <c r="D443" s="44"/>
    </row>
    <row r="444" spans="3:4">
      <c r="C444" s="44"/>
      <c r="D444" s="44"/>
    </row>
    <row r="445" spans="3:4">
      <c r="C445" s="44"/>
      <c r="D445" s="44"/>
    </row>
    <row r="446" spans="3:4">
      <c r="C446" s="44"/>
      <c r="D446" s="44"/>
    </row>
    <row r="447" spans="3:4">
      <c r="C447" s="44"/>
      <c r="D447" s="44"/>
    </row>
    <row r="448" spans="3:4">
      <c r="C448" s="44"/>
      <c r="D448" s="44"/>
    </row>
    <row r="449" spans="3:4">
      <c r="C449" s="44"/>
      <c r="D449" s="44"/>
    </row>
    <row r="450" spans="3:4">
      <c r="C450" s="44"/>
      <c r="D450" s="44"/>
    </row>
    <row r="451" spans="3:4">
      <c r="C451" s="44"/>
      <c r="D451" s="44"/>
    </row>
    <row r="452" spans="3:4">
      <c r="C452" s="44"/>
      <c r="D452" s="44"/>
    </row>
    <row r="453" spans="3:4">
      <c r="C453" s="44"/>
      <c r="D453" s="44"/>
    </row>
    <row r="454" spans="3:4">
      <c r="C454" s="44"/>
      <c r="D454" s="44"/>
    </row>
    <row r="455" spans="3:4">
      <c r="C455" s="44"/>
      <c r="D455" s="44"/>
    </row>
    <row r="456" spans="3:4">
      <c r="C456" s="44"/>
      <c r="D456" s="44"/>
    </row>
    <row r="457" spans="3:4">
      <c r="C457" s="44"/>
      <c r="D457" s="44"/>
    </row>
    <row r="458" spans="3:4">
      <c r="C458" s="44"/>
      <c r="D458" s="44"/>
    </row>
    <row r="459" spans="3:4">
      <c r="C459" s="44"/>
      <c r="D459" s="44"/>
    </row>
    <row r="460" spans="3:4">
      <c r="C460" s="44"/>
      <c r="D460" s="44"/>
    </row>
    <row r="461" spans="3:4">
      <c r="C461" s="44"/>
      <c r="D461" s="44"/>
    </row>
    <row r="462" spans="3:4">
      <c r="C462" s="44"/>
      <c r="D462" s="44"/>
    </row>
    <row r="463" spans="3:4">
      <c r="C463" s="44"/>
      <c r="D463" s="44"/>
    </row>
    <row r="464" spans="3:4">
      <c r="C464" s="44"/>
      <c r="D464" s="44"/>
    </row>
    <row r="465" spans="3:4">
      <c r="C465" s="44"/>
      <c r="D465" s="44"/>
    </row>
    <row r="466" spans="3:4">
      <c r="C466" s="44"/>
      <c r="D466" s="44"/>
    </row>
    <row r="467" spans="3:4">
      <c r="C467" s="44"/>
      <c r="D467" s="44"/>
    </row>
    <row r="468" spans="3:4">
      <c r="C468" s="44"/>
      <c r="D468" s="44"/>
    </row>
    <row r="469" spans="3:4">
      <c r="C469" s="44"/>
      <c r="D469" s="44"/>
    </row>
    <row r="470" spans="3:4">
      <c r="C470" s="44"/>
      <c r="D470" s="44"/>
    </row>
    <row r="471" spans="3:4">
      <c r="C471" s="44"/>
      <c r="D471" s="44"/>
    </row>
    <row r="472" spans="3:4">
      <c r="C472" s="44"/>
      <c r="D472" s="44"/>
    </row>
    <row r="473" spans="3:4">
      <c r="C473" s="44"/>
      <c r="D473" s="44"/>
    </row>
    <row r="474" spans="3:4">
      <c r="C474" s="44"/>
      <c r="D474" s="44"/>
    </row>
    <row r="475" spans="3:4">
      <c r="C475" s="44"/>
      <c r="D475" s="44"/>
    </row>
    <row r="476" spans="3:4">
      <c r="C476" s="44"/>
      <c r="D476" s="44"/>
    </row>
    <row r="477" spans="3:4">
      <c r="C477" s="44"/>
      <c r="D477" s="44"/>
    </row>
    <row r="478" spans="3:4">
      <c r="C478" s="44"/>
      <c r="D478" s="44"/>
    </row>
    <row r="479" spans="3:4">
      <c r="C479" s="44"/>
      <c r="D479" s="44"/>
    </row>
    <row r="480" spans="3:4">
      <c r="C480" s="44"/>
      <c r="D480" s="44"/>
    </row>
    <row r="481" spans="3:4">
      <c r="C481" s="44"/>
      <c r="D481" s="44"/>
    </row>
    <row r="482" spans="3:4">
      <c r="C482" s="44"/>
      <c r="D482" s="44"/>
    </row>
    <row r="483" spans="3:4">
      <c r="C483" s="44"/>
      <c r="D483" s="44"/>
    </row>
    <row r="484" spans="3:4">
      <c r="C484" s="44"/>
      <c r="D484" s="44"/>
    </row>
    <row r="485" spans="3:4">
      <c r="C485" s="44"/>
      <c r="D485" s="44"/>
    </row>
    <row r="486" spans="3:4">
      <c r="C486" s="44"/>
      <c r="D486" s="44"/>
    </row>
    <row r="487" spans="3:4">
      <c r="C487" s="44"/>
      <c r="D487" s="44"/>
    </row>
    <row r="488" spans="3:4">
      <c r="C488" s="44"/>
      <c r="D488" s="44"/>
    </row>
    <row r="489" spans="3:4">
      <c r="C489" s="44"/>
      <c r="D489" s="44"/>
    </row>
    <row r="490" spans="3:4">
      <c r="C490" s="44"/>
      <c r="D490" s="44"/>
    </row>
    <row r="491" spans="3:4">
      <c r="C491" s="44"/>
      <c r="D491" s="44"/>
    </row>
    <row r="492" spans="3:4">
      <c r="C492" s="44"/>
      <c r="D492" s="44"/>
    </row>
    <row r="493" spans="3:4">
      <c r="C493" s="44"/>
      <c r="D493" s="44"/>
    </row>
    <row r="494" spans="3:4">
      <c r="C494" s="44"/>
      <c r="D494" s="44"/>
    </row>
    <row r="495" spans="3:4">
      <c r="C495" s="44"/>
      <c r="D495" s="44"/>
    </row>
    <row r="496" spans="3:4">
      <c r="C496" s="44"/>
      <c r="D496" s="44"/>
    </row>
    <row r="497" spans="3:4">
      <c r="C497" s="44"/>
      <c r="D497" s="44"/>
    </row>
    <row r="498" spans="3:4">
      <c r="C498" s="44"/>
      <c r="D498" s="44"/>
    </row>
    <row r="499" spans="3:4">
      <c r="C499" s="44"/>
      <c r="D499" s="44"/>
    </row>
    <row r="500" spans="3:4">
      <c r="C500" s="44"/>
      <c r="D500" s="44"/>
    </row>
    <row r="501" spans="3:4">
      <c r="C501" s="44"/>
      <c r="D501" s="44"/>
    </row>
    <row r="502" spans="3:4">
      <c r="C502" s="44"/>
      <c r="D502" s="44"/>
    </row>
    <row r="503" spans="3:4">
      <c r="C503" s="44"/>
      <c r="D503" s="44"/>
    </row>
    <row r="504" spans="3:4">
      <c r="C504" s="44"/>
      <c r="D504" s="44"/>
    </row>
    <row r="505" spans="3:4">
      <c r="C505" s="44"/>
      <c r="D505" s="44"/>
    </row>
    <row r="506" spans="3:4">
      <c r="C506" s="44"/>
      <c r="D506" s="44"/>
    </row>
    <row r="507" spans="3:4">
      <c r="C507" s="44"/>
      <c r="D507" s="44"/>
    </row>
    <row r="508" spans="3:4">
      <c r="C508" s="44"/>
      <c r="D508" s="44"/>
    </row>
    <row r="509" spans="3:4">
      <c r="C509" s="44"/>
      <c r="D509" s="44"/>
    </row>
    <row r="510" spans="3:4">
      <c r="C510" s="44"/>
      <c r="D510" s="44"/>
    </row>
    <row r="511" spans="3:4">
      <c r="C511" s="44"/>
      <c r="D511" s="44"/>
    </row>
    <row r="512" spans="3:4">
      <c r="C512" s="44"/>
      <c r="D512" s="44"/>
    </row>
    <row r="513" spans="3:4">
      <c r="C513" s="44"/>
      <c r="D513" s="44"/>
    </row>
    <row r="514" spans="3:4">
      <c r="C514" s="44"/>
      <c r="D514" s="44"/>
    </row>
    <row r="515" spans="3:4">
      <c r="C515" s="44"/>
      <c r="D515" s="44"/>
    </row>
    <row r="516" spans="3:4">
      <c r="C516" s="44"/>
      <c r="D516" s="44"/>
    </row>
    <row r="517" spans="3:4">
      <c r="C517" s="44"/>
      <c r="D517" s="44"/>
    </row>
    <row r="518" spans="3:4">
      <c r="C518" s="44"/>
      <c r="D518" s="44"/>
    </row>
    <row r="519" spans="3:4">
      <c r="C519" s="44"/>
      <c r="D519" s="44"/>
    </row>
    <row r="520" spans="3:4">
      <c r="C520" s="44"/>
      <c r="D520" s="44"/>
    </row>
    <row r="521" spans="3:4">
      <c r="C521" s="44"/>
      <c r="D521" s="44"/>
    </row>
    <row r="522" spans="3:4">
      <c r="C522" s="44"/>
      <c r="D522" s="44"/>
    </row>
    <row r="523" spans="3:4">
      <c r="C523" s="44"/>
      <c r="D523" s="44"/>
    </row>
    <row r="524" spans="3:4">
      <c r="C524" s="44"/>
      <c r="D524" s="44"/>
    </row>
    <row r="525" spans="3:4">
      <c r="C525" s="44"/>
      <c r="D525" s="44"/>
    </row>
    <row r="526" spans="3:4">
      <c r="C526" s="44"/>
      <c r="D526" s="44"/>
    </row>
    <row r="527" spans="3:4">
      <c r="C527" s="44"/>
      <c r="D527" s="44"/>
    </row>
    <row r="528" spans="3:4">
      <c r="C528" s="44"/>
      <c r="D528" s="44"/>
    </row>
    <row r="529" spans="3:4">
      <c r="C529" s="44"/>
      <c r="D529" s="44"/>
    </row>
    <row r="530" spans="3:4">
      <c r="C530" s="44"/>
      <c r="D530" s="44"/>
    </row>
    <row r="531" spans="3:4">
      <c r="C531" s="44"/>
      <c r="D531" s="44"/>
    </row>
    <row r="532" spans="3:4">
      <c r="C532" s="44"/>
      <c r="D532" s="44"/>
    </row>
    <row r="533" spans="3:4">
      <c r="C533" s="44"/>
      <c r="D533" s="44"/>
    </row>
    <row r="534" spans="3:4">
      <c r="C534" s="44"/>
      <c r="D534" s="44"/>
    </row>
    <row r="535" spans="3:4">
      <c r="C535" s="44"/>
      <c r="D535" s="44"/>
    </row>
    <row r="536" spans="3:4">
      <c r="C536" s="44"/>
      <c r="D536" s="44"/>
    </row>
    <row r="537" spans="3:4">
      <c r="C537" s="44"/>
      <c r="D537" s="44"/>
    </row>
    <row r="538" spans="3:4">
      <c r="C538" s="44"/>
      <c r="D538" s="44"/>
    </row>
    <row r="539" spans="3:4">
      <c r="C539" s="44"/>
      <c r="D539" s="44"/>
    </row>
    <row r="540" spans="3:4">
      <c r="C540" s="44"/>
      <c r="D540" s="44"/>
    </row>
    <row r="541" spans="3:4">
      <c r="C541" s="44"/>
      <c r="D541" s="44"/>
    </row>
    <row r="542" spans="3:4">
      <c r="C542" s="44"/>
      <c r="D542" s="44"/>
    </row>
    <row r="543" spans="3:4">
      <c r="C543" s="44"/>
      <c r="D543" s="44"/>
    </row>
    <row r="544" spans="3:4">
      <c r="C544" s="44"/>
      <c r="D544" s="44"/>
    </row>
    <row r="545" spans="3:4">
      <c r="C545" s="44"/>
      <c r="D545" s="44"/>
    </row>
    <row r="546" spans="3:4">
      <c r="C546" s="44"/>
      <c r="D546" s="44"/>
    </row>
    <row r="547" spans="3:4">
      <c r="C547" s="44"/>
      <c r="D547" s="44"/>
    </row>
    <row r="548" spans="3:4">
      <c r="C548" s="44"/>
      <c r="D548" s="44"/>
    </row>
    <row r="549" spans="3:4">
      <c r="C549" s="44"/>
      <c r="D549" s="44"/>
    </row>
    <row r="550" spans="3:4">
      <c r="C550" s="44"/>
      <c r="D550" s="44"/>
    </row>
    <row r="551" spans="3:4">
      <c r="C551" s="44"/>
      <c r="D551" s="44"/>
    </row>
    <row r="552" spans="3:4">
      <c r="C552" s="44"/>
      <c r="D552" s="44"/>
    </row>
    <row r="553" spans="3:4">
      <c r="C553" s="44"/>
      <c r="D553" s="44"/>
    </row>
    <row r="554" spans="3:4">
      <c r="C554" s="44"/>
      <c r="D554" s="44"/>
    </row>
    <row r="555" spans="3:4">
      <c r="C555" s="44"/>
      <c r="D555" s="44"/>
    </row>
    <row r="556" spans="3:4">
      <c r="C556" s="44"/>
      <c r="D556" s="44"/>
    </row>
    <row r="557" spans="3:4">
      <c r="C557" s="44"/>
      <c r="D557" s="44"/>
    </row>
    <row r="558" spans="3:4">
      <c r="C558" s="44"/>
      <c r="D558" s="44"/>
    </row>
    <row r="559" spans="3:4">
      <c r="C559" s="44"/>
      <c r="D559" s="44"/>
    </row>
    <row r="560" spans="3:4">
      <c r="C560" s="44"/>
      <c r="D560" s="44"/>
    </row>
    <row r="561" spans="3:4">
      <c r="C561" s="44"/>
      <c r="D561" s="44"/>
    </row>
    <row r="562" spans="3:4">
      <c r="C562" s="44"/>
      <c r="D562" s="44"/>
    </row>
    <row r="563" spans="3:4">
      <c r="C563" s="44"/>
      <c r="D563" s="44"/>
    </row>
    <row r="564" spans="3:4">
      <c r="C564" s="44"/>
      <c r="D564" s="44"/>
    </row>
    <row r="565" spans="3:4">
      <c r="C565" s="44"/>
      <c r="D565" s="44"/>
    </row>
    <row r="566" spans="3:4">
      <c r="C566" s="44"/>
      <c r="D566" s="44"/>
    </row>
    <row r="567" spans="3:4">
      <c r="C567" s="44"/>
      <c r="D567" s="44"/>
    </row>
    <row r="568" spans="3:4">
      <c r="C568" s="44"/>
      <c r="D568" s="44"/>
    </row>
    <row r="569" spans="3:4">
      <c r="C569" s="44"/>
      <c r="D569" s="44"/>
    </row>
    <row r="570" spans="3:4">
      <c r="C570" s="44"/>
      <c r="D570" s="44"/>
    </row>
    <row r="571" spans="3:4">
      <c r="C571" s="44"/>
      <c r="D571" s="44"/>
    </row>
    <row r="572" spans="3:4">
      <c r="C572" s="44"/>
      <c r="D572" s="44"/>
    </row>
    <row r="573" spans="3:4">
      <c r="C573" s="44"/>
      <c r="D573" s="44"/>
    </row>
    <row r="574" spans="3:4">
      <c r="C574" s="44"/>
      <c r="D574" s="44"/>
    </row>
    <row r="575" spans="3:4">
      <c r="C575" s="44"/>
      <c r="D575" s="44"/>
    </row>
    <row r="576" spans="3:4">
      <c r="C576" s="44"/>
      <c r="D576" s="44"/>
    </row>
    <row r="577" spans="3:4">
      <c r="C577" s="44"/>
      <c r="D577" s="44"/>
    </row>
    <row r="578" spans="3:4">
      <c r="C578" s="44"/>
      <c r="D578" s="44"/>
    </row>
    <row r="579" spans="3:4">
      <c r="C579" s="44"/>
      <c r="D579" s="44"/>
    </row>
    <row r="580" spans="3:4">
      <c r="C580" s="44"/>
      <c r="D580" s="44"/>
    </row>
    <row r="581" spans="3:4">
      <c r="C581" s="44"/>
      <c r="D581" s="44"/>
    </row>
    <row r="582" spans="3:4">
      <c r="C582" s="44"/>
      <c r="D582" s="44"/>
    </row>
    <row r="583" spans="3:4">
      <c r="C583" s="44"/>
      <c r="D583" s="44"/>
    </row>
    <row r="584" spans="3:4">
      <c r="C584" s="44"/>
      <c r="D584" s="44"/>
    </row>
    <row r="585" spans="3:4">
      <c r="C585" s="44"/>
      <c r="D585" s="44"/>
    </row>
    <row r="586" spans="3:4">
      <c r="C586" s="44"/>
      <c r="D586" s="44"/>
    </row>
    <row r="587" spans="3:4">
      <c r="C587" s="44"/>
      <c r="D587" s="44"/>
    </row>
    <row r="588" spans="3:4">
      <c r="C588" s="44"/>
      <c r="D588" s="44"/>
    </row>
    <row r="589" spans="3:4">
      <c r="C589" s="44"/>
      <c r="D589" s="44"/>
    </row>
    <row r="590" spans="3:4">
      <c r="C590" s="44"/>
      <c r="D590" s="44"/>
    </row>
    <row r="591" spans="3:4">
      <c r="C591" s="44"/>
      <c r="D591" s="44"/>
    </row>
    <row r="592" spans="3:4">
      <c r="C592" s="44"/>
      <c r="D592" s="44"/>
    </row>
    <row r="593" spans="3:4">
      <c r="C593" s="44"/>
      <c r="D593" s="44"/>
    </row>
    <row r="594" spans="3:4">
      <c r="C594" s="44"/>
      <c r="D594" s="44"/>
    </row>
    <row r="595" spans="3:4">
      <c r="C595" s="44"/>
      <c r="D595" s="44"/>
    </row>
    <row r="596" spans="3:4">
      <c r="C596" s="44"/>
      <c r="D596" s="44"/>
    </row>
    <row r="597" spans="3:4">
      <c r="C597" s="44"/>
      <c r="D597" s="44"/>
    </row>
    <row r="598" spans="3:4">
      <c r="C598" s="44"/>
      <c r="D598" s="44"/>
    </row>
    <row r="599" spans="3:4">
      <c r="C599" s="44"/>
      <c r="D599" s="44"/>
    </row>
    <row r="600" spans="3:4">
      <c r="C600" s="44"/>
      <c r="D600" s="44"/>
    </row>
    <row r="601" spans="3:4">
      <c r="C601" s="44"/>
      <c r="D601" s="44"/>
    </row>
    <row r="602" spans="3:4">
      <c r="C602" s="44"/>
      <c r="D602" s="44"/>
    </row>
    <row r="603" spans="3:4">
      <c r="C603" s="44"/>
      <c r="D603" s="44"/>
    </row>
    <row r="604" spans="3:4">
      <c r="C604" s="44"/>
      <c r="D604" s="44"/>
    </row>
    <row r="605" spans="3:4">
      <c r="C605" s="44"/>
      <c r="D605" s="44"/>
    </row>
    <row r="606" spans="3:4">
      <c r="C606" s="44"/>
      <c r="D606" s="44"/>
    </row>
    <row r="607" spans="3:4">
      <c r="C607" s="44"/>
      <c r="D607" s="44"/>
    </row>
    <row r="608" spans="3:4">
      <c r="C608" s="44"/>
      <c r="D608" s="44"/>
    </row>
    <row r="609" spans="3:4">
      <c r="C609" s="44"/>
      <c r="D609" s="44"/>
    </row>
    <row r="610" spans="3:4">
      <c r="C610" s="44"/>
      <c r="D610" s="44"/>
    </row>
    <row r="611" spans="3:4">
      <c r="C611" s="44"/>
      <c r="D611" s="44"/>
    </row>
    <row r="612" spans="3:4">
      <c r="C612" s="44"/>
      <c r="D612" s="44"/>
    </row>
    <row r="613" spans="3:4">
      <c r="C613" s="44"/>
      <c r="D613" s="44"/>
    </row>
    <row r="614" spans="3:4">
      <c r="C614" s="44"/>
      <c r="D614" s="44"/>
    </row>
    <row r="615" spans="3:4">
      <c r="C615" s="44"/>
      <c r="D615" s="44"/>
    </row>
    <row r="616" spans="3:4">
      <c r="C616" s="44"/>
      <c r="D616" s="44"/>
    </row>
    <row r="617" spans="3:4">
      <c r="C617" s="44"/>
      <c r="D617" s="44"/>
    </row>
    <row r="618" spans="3:4">
      <c r="C618" s="44"/>
      <c r="D618" s="44"/>
    </row>
    <row r="619" spans="3:4">
      <c r="C619" s="44"/>
      <c r="D619" s="44"/>
    </row>
    <row r="620" spans="3:4">
      <c r="C620" s="44"/>
      <c r="D620" s="44"/>
    </row>
    <row r="621" spans="3:4">
      <c r="C621" s="44"/>
      <c r="D621" s="44"/>
    </row>
    <row r="622" spans="3:4">
      <c r="C622" s="44"/>
      <c r="D622" s="44"/>
    </row>
    <row r="623" spans="3:4">
      <c r="C623" s="44"/>
      <c r="D623" s="44"/>
    </row>
    <row r="624" spans="3:4">
      <c r="C624" s="44"/>
      <c r="D624" s="44"/>
    </row>
    <row r="625" spans="3:4">
      <c r="C625" s="44"/>
      <c r="D625" s="44"/>
    </row>
    <row r="626" spans="3:4">
      <c r="C626" s="44"/>
      <c r="D626" s="44"/>
    </row>
    <row r="627" spans="3:4">
      <c r="C627" s="44"/>
      <c r="D627" s="44"/>
    </row>
    <row r="628" spans="3:4">
      <c r="C628" s="44"/>
      <c r="D628" s="44"/>
    </row>
    <row r="629" spans="3:4">
      <c r="C629" s="44"/>
      <c r="D629" s="44"/>
    </row>
    <row r="630" spans="3:4">
      <c r="C630" s="44"/>
      <c r="D630" s="44"/>
    </row>
    <row r="631" spans="3:4">
      <c r="C631" s="44"/>
      <c r="D631" s="44"/>
    </row>
    <row r="632" spans="3:4">
      <c r="C632" s="44"/>
      <c r="D632" s="44"/>
    </row>
    <row r="633" spans="3:4">
      <c r="C633" s="44"/>
      <c r="D633" s="44"/>
    </row>
    <row r="634" spans="3:4">
      <c r="C634" s="44"/>
      <c r="D634" s="44"/>
    </row>
    <row r="635" spans="3:4">
      <c r="C635" s="44"/>
      <c r="D635" s="44"/>
    </row>
    <row r="636" spans="3:4">
      <c r="C636" s="44"/>
      <c r="D636" s="44"/>
    </row>
    <row r="637" spans="3:4">
      <c r="C637" s="44"/>
      <c r="D637" s="44"/>
    </row>
    <row r="638" spans="3:4">
      <c r="C638" s="44"/>
      <c r="D638" s="44"/>
    </row>
    <row r="639" spans="3:4">
      <c r="C639" s="44"/>
      <c r="D639" s="44"/>
    </row>
    <row r="640" spans="3:4">
      <c r="C640" s="44"/>
      <c r="D640" s="44"/>
    </row>
    <row r="641" spans="3:4">
      <c r="C641" s="44"/>
      <c r="D641" s="44"/>
    </row>
    <row r="642" spans="3:4">
      <c r="C642" s="44"/>
      <c r="D642" s="44"/>
    </row>
    <row r="643" spans="3:4">
      <c r="C643" s="44"/>
      <c r="D643" s="44"/>
    </row>
    <row r="644" spans="3:4">
      <c r="C644" s="44"/>
      <c r="D644" s="44"/>
    </row>
    <row r="645" spans="3:4">
      <c r="C645" s="44"/>
      <c r="D645" s="44"/>
    </row>
    <row r="646" spans="3:4">
      <c r="C646" s="44"/>
      <c r="D646" s="44"/>
    </row>
    <row r="647" spans="3:4">
      <c r="C647" s="44"/>
      <c r="D647" s="44"/>
    </row>
    <row r="648" spans="3:4">
      <c r="C648" s="44"/>
      <c r="D648" s="44"/>
    </row>
    <row r="649" spans="3:4">
      <c r="C649" s="44"/>
      <c r="D649" s="44"/>
    </row>
    <row r="650" spans="3:4">
      <c r="C650" s="44"/>
      <c r="D650" s="44"/>
    </row>
    <row r="651" spans="3:4">
      <c r="C651" s="44"/>
      <c r="D651" s="44"/>
    </row>
    <row r="652" spans="3:4">
      <c r="C652" s="44"/>
      <c r="D652" s="44"/>
    </row>
    <row r="653" spans="3:4">
      <c r="C653" s="44"/>
      <c r="D653" s="44"/>
    </row>
    <row r="654" spans="3:4">
      <c r="C654" s="44"/>
      <c r="D654" s="44"/>
    </row>
    <row r="655" spans="3:4">
      <c r="C655" s="44"/>
      <c r="D655" s="44"/>
    </row>
    <row r="656" spans="3:4">
      <c r="C656" s="44"/>
      <c r="D656" s="44"/>
    </row>
    <row r="657" spans="3:4">
      <c r="C657" s="44"/>
      <c r="D657" s="44"/>
    </row>
    <row r="658" spans="3:4">
      <c r="C658" s="44"/>
      <c r="D658" s="44"/>
    </row>
    <row r="659" spans="3:4">
      <c r="C659" s="44"/>
      <c r="D659" s="44"/>
    </row>
    <row r="660" spans="3:4">
      <c r="C660" s="44"/>
      <c r="D660" s="44"/>
    </row>
    <row r="661" spans="3:4">
      <c r="C661" s="44"/>
      <c r="D661" s="44"/>
    </row>
    <row r="662" spans="3:4">
      <c r="C662" s="44"/>
      <c r="D662" s="44"/>
    </row>
    <row r="663" spans="3:4">
      <c r="C663" s="44"/>
      <c r="D663" s="44"/>
    </row>
    <row r="664" spans="3:4">
      <c r="C664" s="44"/>
      <c r="D664" s="44"/>
    </row>
    <row r="665" spans="3:4">
      <c r="C665" s="44"/>
      <c r="D665" s="44"/>
    </row>
    <row r="666" spans="3:4">
      <c r="C666" s="44"/>
      <c r="D666" s="44"/>
    </row>
    <row r="667" spans="3:4">
      <c r="C667" s="44"/>
      <c r="D667" s="44"/>
    </row>
    <row r="668" spans="3:4">
      <c r="C668" s="44"/>
      <c r="D668" s="44"/>
    </row>
    <row r="669" spans="3:4">
      <c r="C669" s="44"/>
      <c r="D669" s="44"/>
    </row>
    <row r="670" spans="3:4">
      <c r="C670" s="44"/>
      <c r="D670" s="44"/>
    </row>
    <row r="671" spans="3:4">
      <c r="C671" s="44"/>
      <c r="D671" s="44"/>
    </row>
    <row r="672" spans="3:4">
      <c r="C672" s="44"/>
      <c r="D672" s="44"/>
    </row>
    <row r="673" spans="3:4">
      <c r="C673" s="44"/>
      <c r="D673" s="44"/>
    </row>
    <row r="674" spans="3:4">
      <c r="C674" s="44"/>
      <c r="D674" s="44"/>
    </row>
    <row r="675" spans="3:4">
      <c r="C675" s="44"/>
      <c r="D675" s="44"/>
    </row>
    <row r="676" spans="3:4">
      <c r="C676" s="44"/>
      <c r="D676" s="44"/>
    </row>
    <row r="677" spans="3:4">
      <c r="C677" s="44"/>
      <c r="D677" s="44"/>
    </row>
    <row r="678" spans="3:4">
      <c r="C678" s="44"/>
      <c r="D678" s="44"/>
    </row>
    <row r="679" spans="3:4">
      <c r="C679" s="44"/>
      <c r="D679" s="44"/>
    </row>
    <row r="680" spans="3:4">
      <c r="C680" s="44"/>
      <c r="D680" s="44"/>
    </row>
    <row r="681" spans="3:4">
      <c r="C681" s="44"/>
      <c r="D681" s="44"/>
    </row>
    <row r="682" spans="3:4">
      <c r="C682" s="44"/>
      <c r="D682" s="44"/>
    </row>
    <row r="683" spans="3:4">
      <c r="C683" s="44"/>
      <c r="D683" s="44"/>
    </row>
    <row r="684" spans="3:4">
      <c r="C684" s="44"/>
      <c r="D684" s="44"/>
    </row>
    <row r="685" spans="3:4">
      <c r="C685" s="44"/>
      <c r="D685" s="44"/>
    </row>
    <row r="686" spans="3:4">
      <c r="C686" s="44"/>
      <c r="D686" s="44"/>
    </row>
    <row r="687" spans="3:4">
      <c r="C687" s="44"/>
      <c r="D687" s="44"/>
    </row>
    <row r="688" spans="3:4">
      <c r="C688" s="44"/>
      <c r="D688" s="44"/>
    </row>
    <row r="689" spans="3:4">
      <c r="C689" s="44"/>
      <c r="D689" s="44"/>
    </row>
    <row r="690" spans="3:4">
      <c r="C690" s="44"/>
      <c r="D690" s="44"/>
    </row>
    <row r="691" spans="3:4">
      <c r="C691" s="44"/>
      <c r="D691" s="44"/>
    </row>
    <row r="692" spans="3:4">
      <c r="C692" s="44"/>
      <c r="D692" s="44"/>
    </row>
    <row r="693" spans="3:4">
      <c r="C693" s="44"/>
      <c r="D693" s="44"/>
    </row>
    <row r="694" spans="3:4">
      <c r="C694" s="44"/>
      <c r="D694" s="44"/>
    </row>
    <row r="695" spans="3:4">
      <c r="C695" s="44"/>
      <c r="D695" s="44"/>
    </row>
    <row r="696" spans="3:4">
      <c r="C696" s="44"/>
      <c r="D696" s="44"/>
    </row>
    <row r="697" spans="3:4">
      <c r="C697" s="44"/>
      <c r="D697" s="44"/>
    </row>
    <row r="698" spans="3:4">
      <c r="C698" s="44"/>
      <c r="D698" s="44"/>
    </row>
    <row r="699" spans="3:4">
      <c r="C699" s="44"/>
      <c r="D699" s="44"/>
    </row>
    <row r="700" spans="3:4">
      <c r="C700" s="44"/>
      <c r="D700" s="44"/>
    </row>
    <row r="701" spans="3:4">
      <c r="C701" s="44"/>
      <c r="D701" s="44"/>
    </row>
    <row r="702" spans="3:4">
      <c r="C702" s="44"/>
      <c r="D702" s="44"/>
    </row>
    <row r="703" spans="3:4">
      <c r="C703" s="44"/>
      <c r="D703" s="44"/>
    </row>
    <row r="704" spans="3:4">
      <c r="C704" s="44"/>
      <c r="D704" s="44"/>
    </row>
    <row r="705" spans="3:4">
      <c r="C705" s="44"/>
      <c r="D705" s="44"/>
    </row>
    <row r="706" spans="3:4">
      <c r="C706" s="44"/>
      <c r="D706" s="44"/>
    </row>
    <row r="707" spans="3:4">
      <c r="C707" s="44"/>
      <c r="D707" s="44"/>
    </row>
    <row r="708" spans="3:4">
      <c r="C708" s="44"/>
      <c r="D708" s="44"/>
    </row>
    <row r="709" spans="3:4">
      <c r="C709" s="44"/>
      <c r="D709" s="44"/>
    </row>
    <row r="710" spans="3:4">
      <c r="C710" s="44"/>
      <c r="D710" s="44"/>
    </row>
    <row r="711" spans="3:4">
      <c r="C711" s="44"/>
      <c r="D711" s="44"/>
    </row>
    <row r="712" spans="3:4">
      <c r="C712" s="44"/>
      <c r="D712" s="44"/>
    </row>
    <row r="713" spans="3:4">
      <c r="C713" s="44"/>
      <c r="D713" s="44"/>
    </row>
    <row r="714" spans="3:4">
      <c r="C714" s="44"/>
      <c r="D714" s="44"/>
    </row>
    <row r="715" spans="3:4">
      <c r="C715" s="44"/>
      <c r="D715" s="44"/>
    </row>
    <row r="716" spans="3:4">
      <c r="C716" s="44"/>
      <c r="D716" s="44"/>
    </row>
    <row r="717" spans="3:4">
      <c r="C717" s="44"/>
      <c r="D717" s="44"/>
    </row>
    <row r="718" spans="3:4">
      <c r="C718" s="44"/>
      <c r="D718" s="44"/>
    </row>
    <row r="719" spans="3:4">
      <c r="C719" s="44"/>
      <c r="D719" s="44"/>
    </row>
    <row r="720" spans="3:4">
      <c r="C720" s="44"/>
      <c r="D720" s="44"/>
    </row>
    <row r="721" spans="3:4">
      <c r="C721" s="44"/>
      <c r="D721" s="44"/>
    </row>
    <row r="722" spans="3:4">
      <c r="C722" s="44"/>
      <c r="D722" s="44"/>
    </row>
    <row r="723" spans="3:4">
      <c r="C723" s="44"/>
      <c r="D723" s="44"/>
    </row>
    <row r="724" spans="3:4">
      <c r="C724" s="44"/>
      <c r="D724" s="44"/>
    </row>
    <row r="725" spans="3:4">
      <c r="C725" s="44"/>
      <c r="D725" s="44"/>
    </row>
    <row r="726" spans="3:4">
      <c r="C726" s="44"/>
      <c r="D726" s="44"/>
    </row>
    <row r="727" spans="3:4">
      <c r="C727" s="44"/>
      <c r="D727" s="44"/>
    </row>
    <row r="728" spans="3:4">
      <c r="C728" s="44"/>
      <c r="D728" s="44"/>
    </row>
    <row r="729" spans="3:4">
      <c r="C729" s="44"/>
      <c r="D729" s="44"/>
    </row>
    <row r="730" spans="3:4">
      <c r="C730" s="44"/>
      <c r="D730" s="44"/>
    </row>
    <row r="731" spans="3:4">
      <c r="C731" s="44"/>
      <c r="D731" s="44"/>
    </row>
    <row r="732" spans="3:4">
      <c r="C732" s="44"/>
      <c r="D732" s="44"/>
    </row>
    <row r="733" spans="3:4">
      <c r="C733" s="44"/>
      <c r="D733" s="44"/>
    </row>
    <row r="734" spans="3:4">
      <c r="C734" s="44"/>
      <c r="D734" s="44"/>
    </row>
    <row r="735" spans="3:4">
      <c r="C735" s="44"/>
      <c r="D735" s="44"/>
    </row>
    <row r="736" spans="3:4">
      <c r="C736" s="44"/>
      <c r="D736" s="44"/>
    </row>
    <row r="737" spans="3:4">
      <c r="C737" s="44"/>
      <c r="D737" s="44"/>
    </row>
    <row r="738" spans="3:4">
      <c r="C738" s="44"/>
      <c r="D738" s="44"/>
    </row>
    <row r="739" spans="3:4">
      <c r="C739" s="44"/>
      <c r="D739" s="44"/>
    </row>
    <row r="740" spans="3:4">
      <c r="C740" s="44"/>
      <c r="D740" s="44"/>
    </row>
    <row r="741" spans="3:4">
      <c r="C741" s="44"/>
      <c r="D741" s="44"/>
    </row>
    <row r="742" spans="3:4">
      <c r="C742" s="44"/>
      <c r="D742" s="44"/>
    </row>
    <row r="743" spans="3:4">
      <c r="C743" s="44"/>
      <c r="D743" s="44"/>
    </row>
    <row r="744" spans="3:4">
      <c r="C744" s="44"/>
      <c r="D744" s="44"/>
    </row>
    <row r="745" spans="3:4">
      <c r="C745" s="44"/>
      <c r="D745" s="44"/>
    </row>
    <row r="746" spans="3:4">
      <c r="C746" s="44"/>
      <c r="D746" s="44"/>
    </row>
    <row r="747" spans="3:4">
      <c r="C747" s="44"/>
      <c r="D747" s="44"/>
    </row>
    <row r="748" spans="3:4">
      <c r="C748" s="44"/>
      <c r="D748" s="44"/>
    </row>
    <row r="749" spans="3:4">
      <c r="C749" s="44"/>
      <c r="D749" s="44"/>
    </row>
    <row r="750" spans="3:4">
      <c r="C750" s="44"/>
      <c r="D750" s="44"/>
    </row>
    <row r="751" spans="3:4">
      <c r="C751" s="44"/>
      <c r="D751" s="44"/>
    </row>
    <row r="752" spans="3:4">
      <c r="C752" s="44"/>
      <c r="D752" s="44"/>
    </row>
    <row r="753" spans="3:4">
      <c r="C753" s="44"/>
      <c r="D753" s="44"/>
    </row>
    <row r="754" spans="3:4">
      <c r="C754" s="44"/>
      <c r="D754" s="44"/>
    </row>
    <row r="755" spans="3:4">
      <c r="C755" s="44"/>
      <c r="D755" s="44"/>
    </row>
    <row r="756" spans="3:4">
      <c r="C756" s="44"/>
      <c r="D756" s="44"/>
    </row>
    <row r="757" spans="3:4">
      <c r="C757" s="44"/>
      <c r="D757" s="44"/>
    </row>
    <row r="758" spans="3:4">
      <c r="C758" s="44"/>
      <c r="D758" s="44"/>
    </row>
    <row r="759" spans="3:4">
      <c r="C759" s="44"/>
      <c r="D759" s="44"/>
    </row>
    <row r="760" spans="3:4">
      <c r="C760" s="44"/>
      <c r="D760" s="44"/>
    </row>
    <row r="761" spans="3:4">
      <c r="C761" s="44"/>
      <c r="D761" s="44"/>
    </row>
    <row r="762" spans="3:4">
      <c r="C762" s="44"/>
      <c r="D762" s="44"/>
    </row>
    <row r="763" spans="3:4">
      <c r="C763" s="44"/>
      <c r="D763" s="44"/>
    </row>
    <row r="764" spans="3:4">
      <c r="C764" s="44"/>
      <c r="D764" s="44"/>
    </row>
    <row r="765" spans="3:4">
      <c r="C765" s="44"/>
      <c r="D765" s="44"/>
    </row>
    <row r="766" spans="3:4">
      <c r="C766" s="44"/>
      <c r="D766" s="44"/>
    </row>
    <row r="767" spans="3:4">
      <c r="C767" s="44"/>
      <c r="D767" s="44"/>
    </row>
    <row r="768" spans="3:4">
      <c r="C768" s="44"/>
      <c r="D768" s="44"/>
    </row>
    <row r="769" spans="3:4">
      <c r="C769" s="44"/>
      <c r="D769" s="44"/>
    </row>
    <row r="770" spans="3:4">
      <c r="C770" s="44"/>
      <c r="D770" s="44"/>
    </row>
    <row r="771" spans="3:4">
      <c r="C771" s="44"/>
      <c r="D771" s="44"/>
    </row>
    <row r="772" spans="3:4">
      <c r="C772" s="44"/>
      <c r="D772" s="44"/>
    </row>
    <row r="773" spans="3:4">
      <c r="C773" s="44"/>
      <c r="D773" s="44"/>
    </row>
    <row r="774" spans="3:4">
      <c r="C774" s="44"/>
      <c r="D774" s="44"/>
    </row>
    <row r="775" spans="3:4">
      <c r="C775" s="44"/>
      <c r="D775" s="44"/>
    </row>
    <row r="776" spans="3:4">
      <c r="C776" s="44"/>
      <c r="D776" s="44"/>
    </row>
    <row r="777" spans="3:4">
      <c r="C777" s="44"/>
      <c r="D777" s="44"/>
    </row>
    <row r="778" spans="3:4">
      <c r="C778" s="44"/>
      <c r="D778" s="44"/>
    </row>
    <row r="779" spans="3:4">
      <c r="C779" s="44"/>
      <c r="D779" s="44"/>
    </row>
    <row r="780" spans="3:4">
      <c r="C780" s="44"/>
      <c r="D780" s="44"/>
    </row>
    <row r="781" spans="3:4">
      <c r="C781" s="44"/>
      <c r="D781" s="44"/>
    </row>
    <row r="782" spans="3:4">
      <c r="C782" s="44"/>
      <c r="D782" s="44"/>
    </row>
    <row r="783" spans="3:4">
      <c r="C783" s="44"/>
      <c r="D783" s="44"/>
    </row>
    <row r="784" spans="3:4">
      <c r="C784" s="44"/>
      <c r="D784" s="44"/>
    </row>
    <row r="785" spans="3:4">
      <c r="C785" s="44"/>
      <c r="D785" s="44"/>
    </row>
    <row r="786" spans="3:4">
      <c r="C786" s="44"/>
      <c r="D786" s="44"/>
    </row>
    <row r="787" spans="3:4">
      <c r="C787" s="44"/>
      <c r="D787" s="44"/>
    </row>
    <row r="788" spans="3:4">
      <c r="C788" s="44"/>
      <c r="D788" s="44"/>
    </row>
    <row r="789" spans="3:4">
      <c r="C789" s="44"/>
      <c r="D789" s="44"/>
    </row>
    <row r="790" spans="3:4">
      <c r="C790" s="44"/>
      <c r="D790" s="44"/>
    </row>
    <row r="791" spans="3:4">
      <c r="C791" s="44"/>
      <c r="D791" s="44"/>
    </row>
    <row r="792" spans="3:4">
      <c r="C792" s="44"/>
      <c r="D792" s="44"/>
    </row>
    <row r="793" spans="3:4">
      <c r="C793" s="44"/>
      <c r="D793" s="44"/>
    </row>
    <row r="794" spans="3:4">
      <c r="C794" s="44"/>
      <c r="D794" s="44"/>
    </row>
    <row r="795" spans="3:4">
      <c r="C795" s="44"/>
      <c r="D795" s="44"/>
    </row>
    <row r="796" spans="3:4">
      <c r="C796" s="44"/>
      <c r="D796" s="44"/>
    </row>
    <row r="797" spans="3:4">
      <c r="C797" s="44"/>
      <c r="D797" s="44"/>
    </row>
    <row r="798" spans="3:4">
      <c r="C798" s="44"/>
      <c r="D798" s="44"/>
    </row>
    <row r="799" spans="3:4">
      <c r="C799" s="44"/>
      <c r="D799" s="44"/>
    </row>
    <row r="800" spans="3:4">
      <c r="C800" s="44"/>
      <c r="D800" s="44"/>
    </row>
    <row r="801" spans="3:4">
      <c r="C801" s="44"/>
      <c r="D801" s="44"/>
    </row>
    <row r="802" spans="3:4">
      <c r="C802" s="44"/>
      <c r="D802" s="44"/>
    </row>
    <row r="803" spans="3:4">
      <c r="C803" s="44"/>
      <c r="D803" s="44"/>
    </row>
    <row r="804" spans="3:4">
      <c r="C804" s="44"/>
      <c r="D804" s="44"/>
    </row>
    <row r="805" spans="3:4">
      <c r="C805" s="44"/>
      <c r="D805" s="44"/>
    </row>
    <row r="806" spans="3:4">
      <c r="C806" s="44"/>
      <c r="D806" s="44"/>
    </row>
    <row r="807" spans="3:4">
      <c r="C807" s="44"/>
      <c r="D807" s="44"/>
    </row>
    <row r="808" spans="3:4">
      <c r="C808" s="44"/>
      <c r="D808" s="44"/>
    </row>
    <row r="809" spans="3:4">
      <c r="C809" s="44"/>
      <c r="D809" s="44"/>
    </row>
    <row r="810" spans="3:4">
      <c r="C810" s="44"/>
      <c r="D810" s="44"/>
    </row>
    <row r="811" spans="3:4">
      <c r="C811" s="44"/>
      <c r="D811" s="44"/>
    </row>
    <row r="812" spans="3:4">
      <c r="C812" s="44"/>
      <c r="D812" s="44"/>
    </row>
    <row r="813" spans="3:4">
      <c r="C813" s="44"/>
      <c r="D813" s="44"/>
    </row>
    <row r="814" spans="3:4">
      <c r="C814" s="44"/>
      <c r="D814" s="44"/>
    </row>
    <row r="815" spans="3:4">
      <c r="C815" s="44"/>
      <c r="D815" s="44"/>
    </row>
    <row r="816" spans="3:4">
      <c r="C816" s="44"/>
      <c r="D816" s="44"/>
    </row>
    <row r="817" spans="3:4">
      <c r="C817" s="44"/>
      <c r="D817" s="44"/>
    </row>
    <row r="818" spans="3:4">
      <c r="C818" s="44"/>
      <c r="D818" s="44"/>
    </row>
    <row r="819" spans="3:4">
      <c r="C819" s="44"/>
      <c r="D819" s="44"/>
    </row>
    <row r="820" spans="3:4">
      <c r="C820" s="44"/>
      <c r="D820" s="44"/>
    </row>
    <row r="821" spans="3:4">
      <c r="C821" s="44"/>
      <c r="D821" s="44"/>
    </row>
    <row r="822" spans="3:4">
      <c r="C822" s="44"/>
      <c r="D822" s="44"/>
    </row>
    <row r="823" spans="3:4">
      <c r="C823" s="44"/>
      <c r="D823" s="44"/>
    </row>
    <row r="824" spans="3:4">
      <c r="C824" s="44"/>
      <c r="D824" s="44"/>
    </row>
    <row r="825" spans="3:4">
      <c r="C825" s="44"/>
      <c r="D825" s="44"/>
    </row>
    <row r="826" spans="3:4">
      <c r="C826" s="44"/>
      <c r="D826" s="44"/>
    </row>
    <row r="827" spans="3:4">
      <c r="C827" s="44"/>
      <c r="D827" s="44"/>
    </row>
    <row r="828" spans="3:4">
      <c r="C828" s="44"/>
      <c r="D828" s="44"/>
    </row>
    <row r="829" spans="3:4">
      <c r="C829" s="44"/>
      <c r="D829" s="44"/>
    </row>
    <row r="830" spans="3:4">
      <c r="C830" s="44"/>
      <c r="D830" s="44"/>
    </row>
    <row r="831" spans="3:4">
      <c r="C831" s="44"/>
      <c r="D831" s="44"/>
    </row>
    <row r="832" spans="3:4">
      <c r="C832" s="44"/>
      <c r="D832" s="44"/>
    </row>
    <row r="833" spans="3:4">
      <c r="C833" s="44"/>
      <c r="D833" s="44"/>
    </row>
    <row r="834" spans="3:4">
      <c r="C834" s="44"/>
      <c r="D834" s="44"/>
    </row>
    <row r="835" spans="3:4">
      <c r="C835" s="44"/>
      <c r="D835" s="44"/>
    </row>
    <row r="836" spans="3:4">
      <c r="C836" s="44"/>
      <c r="D836" s="44"/>
    </row>
    <row r="837" spans="3:4">
      <c r="C837" s="44"/>
      <c r="D837" s="44"/>
    </row>
    <row r="838" spans="3:4">
      <c r="C838" s="44"/>
      <c r="D838" s="44"/>
    </row>
    <row r="839" spans="3:4">
      <c r="C839" s="44"/>
      <c r="D839" s="44"/>
    </row>
    <row r="840" spans="3:4">
      <c r="C840" s="44"/>
      <c r="D840" s="44"/>
    </row>
    <row r="841" spans="3:4">
      <c r="C841" s="44"/>
      <c r="D841" s="44"/>
    </row>
    <row r="842" spans="3:4">
      <c r="C842" s="44"/>
      <c r="D842" s="44"/>
    </row>
    <row r="843" spans="3:4">
      <c r="C843" s="44"/>
      <c r="D843" s="44"/>
    </row>
    <row r="844" spans="3:4">
      <c r="C844" s="44"/>
      <c r="D844" s="44"/>
    </row>
    <row r="845" spans="3:4">
      <c r="C845" s="44"/>
      <c r="D845" s="44"/>
    </row>
    <row r="846" spans="3:4">
      <c r="C846" s="44"/>
      <c r="D846" s="44"/>
    </row>
    <row r="847" spans="3:4">
      <c r="C847" s="44"/>
      <c r="D847" s="44"/>
    </row>
    <row r="848" spans="3:4">
      <c r="C848" s="44"/>
      <c r="D848" s="44"/>
    </row>
    <row r="849" spans="3:4">
      <c r="C849" s="44"/>
      <c r="D849" s="44"/>
    </row>
    <row r="850" spans="3:4">
      <c r="C850" s="44"/>
      <c r="D850" s="44"/>
    </row>
    <row r="851" spans="3:4">
      <c r="C851" s="44"/>
      <c r="D851" s="44"/>
    </row>
    <row r="852" spans="3:4">
      <c r="C852" s="44"/>
      <c r="D852" s="44"/>
    </row>
    <row r="853" spans="3:4">
      <c r="C853" s="44"/>
      <c r="D853" s="44"/>
    </row>
    <row r="854" spans="3:4">
      <c r="C854" s="44"/>
      <c r="D854" s="44"/>
    </row>
    <row r="855" spans="3:4">
      <c r="C855" s="44"/>
      <c r="D855" s="44"/>
    </row>
    <row r="856" spans="3:4">
      <c r="C856" s="44"/>
      <c r="D856" s="44"/>
    </row>
    <row r="857" spans="3:4">
      <c r="C857" s="44"/>
      <c r="D857" s="44"/>
    </row>
    <row r="858" spans="3:4">
      <c r="C858" s="44"/>
      <c r="D858" s="44"/>
    </row>
    <row r="859" spans="3:4">
      <c r="C859" s="44"/>
      <c r="D859" s="44"/>
    </row>
    <row r="860" spans="3:4">
      <c r="C860" s="44"/>
      <c r="D860" s="44"/>
    </row>
    <row r="861" spans="3:4">
      <c r="C861" s="44"/>
      <c r="D861" s="44"/>
    </row>
    <row r="862" spans="3:4">
      <c r="C862" s="44"/>
      <c r="D862" s="44"/>
    </row>
    <row r="863" spans="3:4">
      <c r="C863" s="44"/>
      <c r="D863" s="44"/>
    </row>
    <row r="864" spans="3:4">
      <c r="C864" s="44"/>
      <c r="D864" s="44"/>
    </row>
    <row r="865" spans="3:4">
      <c r="C865" s="44"/>
      <c r="D865" s="44"/>
    </row>
    <row r="866" spans="3:4">
      <c r="C866" s="44"/>
      <c r="D866" s="44"/>
    </row>
    <row r="867" spans="3:4">
      <c r="C867" s="44"/>
      <c r="D867" s="44"/>
    </row>
    <row r="868" spans="3:4">
      <c r="C868" s="44"/>
      <c r="D868" s="44"/>
    </row>
    <row r="869" spans="3:4">
      <c r="C869" s="44"/>
      <c r="D869" s="44"/>
    </row>
    <row r="870" spans="3:4">
      <c r="C870" s="44"/>
      <c r="D870" s="44"/>
    </row>
    <row r="871" spans="3:4">
      <c r="C871" s="44"/>
      <c r="D871" s="44"/>
    </row>
    <row r="872" spans="3:4">
      <c r="C872" s="44"/>
      <c r="D872" s="44"/>
    </row>
    <row r="873" spans="3:4">
      <c r="C873" s="44"/>
      <c r="D873" s="44"/>
    </row>
    <row r="874" spans="3:4">
      <c r="C874" s="44"/>
      <c r="D874" s="44"/>
    </row>
    <row r="875" spans="3:4">
      <c r="C875" s="44"/>
      <c r="D875" s="44"/>
    </row>
    <row r="876" spans="3:4">
      <c r="C876" s="44"/>
      <c r="D876" s="44"/>
    </row>
    <row r="877" spans="3:4">
      <c r="C877" s="44"/>
      <c r="D877" s="44"/>
    </row>
    <row r="878" spans="3:4">
      <c r="C878" s="44"/>
      <c r="D878" s="44"/>
    </row>
    <row r="879" spans="3:4">
      <c r="C879" s="44"/>
      <c r="D879" s="44"/>
    </row>
    <row r="880" spans="3:4">
      <c r="C880" s="44"/>
      <c r="D880" s="44"/>
    </row>
    <row r="881" spans="3:4">
      <c r="C881" s="44"/>
      <c r="D881" s="44"/>
    </row>
    <row r="882" spans="3:4">
      <c r="C882" s="44"/>
      <c r="D882" s="44"/>
    </row>
    <row r="883" spans="3:4">
      <c r="C883" s="44"/>
      <c r="D883" s="44"/>
    </row>
    <row r="884" spans="3:4">
      <c r="C884" s="44"/>
      <c r="D884" s="44"/>
    </row>
    <row r="885" spans="3:4">
      <c r="C885" s="44"/>
      <c r="D885" s="44"/>
    </row>
    <row r="886" spans="3:4">
      <c r="C886" s="44"/>
      <c r="D886" s="44"/>
    </row>
    <row r="887" spans="3:4">
      <c r="C887" s="44"/>
      <c r="D887" s="44"/>
    </row>
    <row r="888" spans="3:4">
      <c r="C888" s="44"/>
      <c r="D888" s="44"/>
    </row>
    <row r="889" spans="3:4">
      <c r="C889" s="44"/>
      <c r="D889" s="44"/>
    </row>
    <row r="890" spans="3:4">
      <c r="C890" s="44"/>
      <c r="D890" s="44"/>
    </row>
    <row r="891" spans="3:4">
      <c r="C891" s="44"/>
      <c r="D891" s="44"/>
    </row>
    <row r="892" spans="3:4">
      <c r="C892" s="44"/>
      <c r="D892" s="44"/>
    </row>
    <row r="893" spans="3:4">
      <c r="C893" s="44"/>
      <c r="D893" s="44"/>
    </row>
    <row r="894" spans="3:4">
      <c r="C894" s="44"/>
      <c r="D894" s="44"/>
    </row>
    <row r="895" spans="3:4">
      <c r="C895" s="44"/>
      <c r="D895" s="44"/>
    </row>
    <row r="896" spans="3:4">
      <c r="C896" s="44"/>
      <c r="D896" s="44"/>
    </row>
    <row r="897" spans="3:4">
      <c r="C897" s="44"/>
      <c r="D897" s="44"/>
    </row>
    <row r="898" spans="3:4">
      <c r="C898" s="44"/>
      <c r="D898" s="44"/>
    </row>
    <row r="899" spans="3:4">
      <c r="C899" s="44"/>
      <c r="D899" s="44"/>
    </row>
    <row r="900" spans="3:4">
      <c r="C900" s="44"/>
      <c r="D900" s="44"/>
    </row>
    <row r="901" spans="3:4">
      <c r="C901" s="44"/>
      <c r="D901" s="44"/>
    </row>
    <row r="902" spans="3:4">
      <c r="C902" s="44"/>
      <c r="D902" s="44"/>
    </row>
    <row r="903" spans="3:4">
      <c r="C903" s="44"/>
      <c r="D903" s="44"/>
    </row>
    <row r="904" spans="3:4">
      <c r="C904" s="44"/>
      <c r="D904" s="44"/>
    </row>
    <row r="905" spans="3:4">
      <c r="C905" s="44"/>
      <c r="D905" s="44"/>
    </row>
    <row r="906" spans="3:4">
      <c r="C906" s="44"/>
      <c r="D906" s="44"/>
    </row>
    <row r="907" spans="3:4">
      <c r="C907" s="44"/>
      <c r="D907" s="44"/>
    </row>
    <row r="908" spans="3:4">
      <c r="C908" s="44"/>
      <c r="D908" s="44"/>
    </row>
    <row r="909" spans="3:4">
      <c r="C909" s="44"/>
      <c r="D909" s="44"/>
    </row>
    <row r="910" spans="3:4">
      <c r="C910" s="44"/>
      <c r="D910" s="44"/>
    </row>
    <row r="911" spans="3:4">
      <c r="C911" s="44"/>
      <c r="D911" s="44"/>
    </row>
    <row r="912" spans="3:4">
      <c r="C912" s="44"/>
      <c r="D912" s="44"/>
    </row>
    <row r="913" spans="3:4">
      <c r="C913" s="44"/>
      <c r="D913" s="44"/>
    </row>
    <row r="914" spans="3:4">
      <c r="C914" s="44"/>
      <c r="D914" s="44"/>
    </row>
    <row r="915" spans="3:4">
      <c r="C915" s="44"/>
      <c r="D915" s="44"/>
    </row>
    <row r="916" spans="3:4">
      <c r="C916" s="44"/>
      <c r="D916" s="44"/>
    </row>
    <row r="917" spans="3:4">
      <c r="C917" s="44"/>
      <c r="D917" s="44"/>
    </row>
    <row r="918" spans="3:4">
      <c r="C918" s="44"/>
      <c r="D918" s="44"/>
    </row>
    <row r="919" spans="3:4">
      <c r="C919" s="44"/>
      <c r="D919" s="44"/>
    </row>
    <row r="920" spans="3:4">
      <c r="C920" s="44"/>
      <c r="D920" s="44"/>
    </row>
    <row r="921" spans="3:4">
      <c r="C921" s="44"/>
      <c r="D921" s="44"/>
    </row>
    <row r="922" spans="3:4">
      <c r="C922" s="44"/>
      <c r="D922" s="44"/>
    </row>
    <row r="923" spans="3:4">
      <c r="C923" s="44"/>
      <c r="D923" s="44"/>
    </row>
    <row r="924" spans="3:4">
      <c r="C924" s="44"/>
      <c r="D924" s="44"/>
    </row>
    <row r="925" spans="3:4">
      <c r="C925" s="44"/>
      <c r="D925" s="44"/>
    </row>
    <row r="926" spans="3:4">
      <c r="C926" s="44"/>
      <c r="D926" s="44"/>
    </row>
    <row r="927" spans="3:4">
      <c r="C927" s="44"/>
      <c r="D927" s="44"/>
    </row>
    <row r="928" spans="3:4">
      <c r="C928" s="44"/>
      <c r="D928" s="44"/>
    </row>
    <row r="929" spans="3:4">
      <c r="C929" s="44"/>
      <c r="D929" s="44"/>
    </row>
    <row r="930" spans="3:4">
      <c r="C930" s="44"/>
      <c r="D930" s="44"/>
    </row>
    <row r="931" spans="3:4">
      <c r="C931" s="44"/>
      <c r="D931" s="44"/>
    </row>
    <row r="932" spans="3:4">
      <c r="C932" s="44"/>
      <c r="D932" s="44"/>
    </row>
    <row r="933" spans="3:4">
      <c r="C933" s="44"/>
      <c r="D933" s="44"/>
    </row>
    <row r="934" spans="3:4">
      <c r="C934" s="44"/>
      <c r="D934" s="44"/>
    </row>
    <row r="935" spans="3:4">
      <c r="C935" s="44"/>
      <c r="D935" s="44"/>
    </row>
    <row r="936" spans="3:4">
      <c r="C936" s="44"/>
      <c r="D936" s="44"/>
    </row>
    <row r="937" spans="3:4">
      <c r="C937" s="44"/>
      <c r="D937" s="44"/>
    </row>
    <row r="938" spans="3:4">
      <c r="C938" s="44"/>
      <c r="D938" s="44"/>
    </row>
    <row r="939" spans="3:4">
      <c r="C939" s="44"/>
      <c r="D939" s="44"/>
    </row>
    <row r="940" spans="3:4">
      <c r="C940" s="44"/>
      <c r="D940" s="44"/>
    </row>
    <row r="941" spans="3:4">
      <c r="C941" s="44"/>
      <c r="D941" s="44"/>
    </row>
    <row r="942" spans="3:4">
      <c r="C942" s="44"/>
      <c r="D942" s="44"/>
    </row>
    <row r="943" spans="3:4">
      <c r="C943" s="44"/>
      <c r="D943" s="44"/>
    </row>
    <row r="944" spans="3:4">
      <c r="C944" s="44"/>
      <c r="D944" s="44"/>
    </row>
    <row r="945" spans="3:4">
      <c r="C945" s="44"/>
      <c r="D945" s="44"/>
    </row>
    <row r="946" spans="3:4">
      <c r="C946" s="44"/>
      <c r="D946" s="44"/>
    </row>
    <row r="947" spans="3:4">
      <c r="C947" s="44"/>
      <c r="D947" s="44"/>
    </row>
    <row r="948" spans="3:4">
      <c r="C948" s="44"/>
      <c r="D948" s="44"/>
    </row>
    <row r="949" spans="3:4">
      <c r="C949" s="44"/>
      <c r="D949" s="44"/>
    </row>
    <row r="950" spans="3:4">
      <c r="C950" s="44"/>
      <c r="D950" s="44"/>
    </row>
    <row r="951" spans="3:4">
      <c r="C951" s="44"/>
      <c r="D951" s="44"/>
    </row>
    <row r="952" spans="3:4">
      <c r="C952" s="44"/>
      <c r="D952" s="44"/>
    </row>
    <row r="953" spans="3:4">
      <c r="C953" s="44"/>
      <c r="D953" s="44"/>
    </row>
    <row r="954" spans="3:4">
      <c r="C954" s="44"/>
      <c r="D954" s="44"/>
    </row>
    <row r="955" spans="3:4">
      <c r="C955" s="44"/>
      <c r="D955" s="44"/>
    </row>
    <row r="956" spans="3:4">
      <c r="C956" s="44"/>
      <c r="D956" s="44"/>
    </row>
    <row r="957" spans="3:4">
      <c r="C957" s="44"/>
      <c r="D957" s="44"/>
    </row>
    <row r="958" spans="3:4">
      <c r="C958" s="44"/>
      <c r="D958" s="44"/>
    </row>
    <row r="959" spans="3:4">
      <c r="C959" s="44"/>
      <c r="D959" s="44"/>
    </row>
    <row r="960" spans="3:4">
      <c r="C960" s="44"/>
      <c r="D960" s="44"/>
    </row>
    <row r="961" spans="3:4">
      <c r="C961" s="44"/>
      <c r="D961" s="44"/>
    </row>
    <row r="962" spans="3:4">
      <c r="C962" s="44"/>
      <c r="D962" s="44"/>
    </row>
    <row r="963" spans="3:4">
      <c r="C963" s="44"/>
      <c r="D963" s="44"/>
    </row>
    <row r="964" spans="3:4">
      <c r="C964" s="44"/>
      <c r="D964" s="44"/>
    </row>
    <row r="965" spans="3:4">
      <c r="C965" s="44"/>
      <c r="D965" s="44"/>
    </row>
    <row r="966" spans="3:4">
      <c r="C966" s="44"/>
      <c r="D966" s="44"/>
    </row>
    <row r="967" spans="3:4">
      <c r="C967" s="44"/>
      <c r="D967" s="44"/>
    </row>
    <row r="968" spans="3:4">
      <c r="C968" s="44"/>
      <c r="D968" s="44"/>
    </row>
    <row r="969" spans="3:4">
      <c r="C969" s="44"/>
      <c r="D969" s="44"/>
    </row>
    <row r="970" spans="3:4">
      <c r="C970" s="44"/>
      <c r="D970" s="44"/>
    </row>
    <row r="971" spans="3:4">
      <c r="C971" s="44"/>
      <c r="D971" s="44"/>
    </row>
    <row r="972" spans="3:4">
      <c r="C972" s="44"/>
      <c r="D972" s="44"/>
    </row>
    <row r="973" spans="3:4">
      <c r="C973" s="44"/>
      <c r="D973" s="44"/>
    </row>
    <row r="974" spans="3:4">
      <c r="C974" s="44"/>
      <c r="D974" s="44"/>
    </row>
    <row r="975" spans="3:4">
      <c r="C975" s="44"/>
      <c r="D975" s="44"/>
    </row>
    <row r="976" spans="3:4">
      <c r="C976" s="44"/>
      <c r="D976" s="44"/>
    </row>
    <row r="977" spans="3:4">
      <c r="C977" s="44"/>
      <c r="D977" s="44"/>
    </row>
    <row r="978" spans="3:4">
      <c r="C978" s="44"/>
      <c r="D978" s="44"/>
    </row>
    <row r="979" spans="3:4">
      <c r="C979" s="44"/>
      <c r="D979" s="44"/>
    </row>
    <row r="980" spans="3:4">
      <c r="C980" s="44"/>
      <c r="D980" s="44"/>
    </row>
    <row r="981" spans="3:4">
      <c r="C981" s="44"/>
      <c r="D981" s="44"/>
    </row>
    <row r="982" spans="3:4">
      <c r="C982" s="44"/>
      <c r="D982" s="44"/>
    </row>
    <row r="983" spans="3:4">
      <c r="C983" s="44"/>
      <c r="D983" s="44"/>
    </row>
    <row r="984" spans="3:4">
      <c r="C984" s="44"/>
      <c r="D984" s="44"/>
    </row>
    <row r="985" spans="3:4">
      <c r="C985" s="44"/>
      <c r="D985" s="44"/>
    </row>
    <row r="986" spans="3:4">
      <c r="C986" s="44"/>
      <c r="D986" s="44"/>
    </row>
    <row r="987" spans="3:4">
      <c r="C987" s="44"/>
      <c r="D987" s="44"/>
    </row>
    <row r="988" spans="3:4">
      <c r="C988" s="44"/>
      <c r="D988" s="44"/>
    </row>
    <row r="989" spans="3:4">
      <c r="C989" s="44"/>
      <c r="D989" s="44"/>
    </row>
    <row r="990" spans="3:4">
      <c r="C990" s="44"/>
      <c r="D990" s="44"/>
    </row>
    <row r="991" spans="3:4">
      <c r="C991" s="44"/>
      <c r="D991" s="44"/>
    </row>
    <row r="992" spans="3:4">
      <c r="C992" s="44"/>
      <c r="D992" s="44"/>
    </row>
    <row r="993" spans="3:4">
      <c r="C993" s="44"/>
      <c r="D993" s="44"/>
    </row>
    <row r="994" spans="3:4">
      <c r="C994" s="44"/>
      <c r="D994" s="44"/>
    </row>
    <row r="995" spans="3:4">
      <c r="C995" s="44"/>
      <c r="D995" s="44"/>
    </row>
    <row r="996" spans="3:4">
      <c r="C996" s="44"/>
      <c r="D996" s="44"/>
    </row>
    <row r="997" spans="3:4">
      <c r="C997" s="44"/>
      <c r="D997" s="44"/>
    </row>
    <row r="998" spans="3:4">
      <c r="C998" s="44"/>
      <c r="D998" s="4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outlinePr summaryBelow="0" summaryRight="0"/>
  </sheetPr>
  <dimension ref="A1:M986"/>
  <sheetViews>
    <sheetView topLeftCell="A4" workbookViewId="0"/>
  </sheetViews>
  <sheetFormatPr defaultColWidth="14.42578125" defaultRowHeight="15" customHeight="1"/>
  <cols>
    <col min="1" max="1" width="11.7109375" style="259" customWidth="1"/>
    <col min="2" max="2" width="17.85546875" style="259" customWidth="1"/>
    <col min="3" max="3" width="19.28515625" style="259" customWidth="1"/>
    <col min="4" max="4" width="47" style="259" customWidth="1"/>
    <col min="5" max="5" width="33" style="259" customWidth="1"/>
    <col min="6" max="6" width="34.85546875" style="259" customWidth="1"/>
    <col min="7" max="7" width="26.5703125" style="259" customWidth="1"/>
    <col min="8" max="8" width="75.7109375" style="259" customWidth="1"/>
    <col min="11" max="11" width="29.42578125" style="259" customWidth="1"/>
  </cols>
  <sheetData>
    <row r="1" spans="1:13">
      <c r="A1" s="34" t="s">
        <v>1057</v>
      </c>
      <c r="B1" s="34"/>
      <c r="C1" s="34"/>
      <c r="D1" s="34"/>
      <c r="E1" s="34"/>
      <c r="F1" s="34"/>
      <c r="G1" s="34"/>
      <c r="H1" s="35"/>
      <c r="I1" s="34"/>
      <c r="J1" s="34"/>
      <c r="K1" s="34"/>
    </row>
    <row r="2" spans="1:13">
      <c r="A2" s="36" t="s">
        <v>1116</v>
      </c>
      <c r="B2" s="37" t="s">
        <v>1117</v>
      </c>
      <c r="C2" s="39" t="s">
        <v>1118</v>
      </c>
      <c r="D2" s="39" t="s">
        <v>1119</v>
      </c>
      <c r="E2" s="39" t="s">
        <v>1120</v>
      </c>
      <c r="F2" s="39" t="s">
        <v>1121</v>
      </c>
      <c r="G2" s="39" t="s">
        <v>1122</v>
      </c>
      <c r="H2" s="38" t="s">
        <v>1123</v>
      </c>
      <c r="I2" s="34"/>
      <c r="J2" s="34"/>
      <c r="K2" s="34"/>
    </row>
    <row r="3" spans="1:13" ht="126.75" customHeight="1">
      <c r="A3" s="60">
        <v>1</v>
      </c>
      <c r="B3" s="285" t="s">
        <v>505</v>
      </c>
      <c r="C3" s="311" t="s">
        <v>506</v>
      </c>
      <c r="D3" s="311" t="s">
        <v>1061</v>
      </c>
      <c r="E3" s="311"/>
      <c r="F3" s="312"/>
      <c r="G3" s="312"/>
      <c r="H3" s="310" t="s">
        <v>1124</v>
      </c>
      <c r="I3" s="34"/>
      <c r="J3" s="34"/>
      <c r="K3" s="34"/>
    </row>
    <row r="4" spans="1:13" ht="221.25" customHeight="1">
      <c r="A4" s="60">
        <v>2</v>
      </c>
      <c r="B4" s="285" t="s">
        <v>512</v>
      </c>
      <c r="C4" s="311" t="s">
        <v>643</v>
      </c>
      <c r="D4" s="311" t="s">
        <v>1063</v>
      </c>
      <c r="E4" s="311"/>
      <c r="F4" s="312" t="s">
        <v>1185</v>
      </c>
      <c r="G4" s="312" t="s">
        <v>1186</v>
      </c>
      <c r="H4" s="310" t="s">
        <v>1187</v>
      </c>
      <c r="I4" s="34"/>
      <c r="J4" s="34"/>
      <c r="K4" s="34"/>
    </row>
    <row r="5" spans="1:13">
      <c r="A5" s="29"/>
      <c r="B5" s="29"/>
      <c r="C5" s="29"/>
      <c r="D5" s="29"/>
      <c r="E5" s="29"/>
      <c r="F5" s="29"/>
      <c r="G5" s="29"/>
      <c r="H5" s="40"/>
      <c r="I5" s="29"/>
      <c r="J5" s="29"/>
      <c r="K5" s="29"/>
    </row>
    <row r="6" spans="1:13">
      <c r="A6" s="29"/>
      <c r="B6" s="29"/>
      <c r="C6" s="29"/>
      <c r="D6" s="29"/>
      <c r="E6" s="29"/>
      <c r="F6" s="29"/>
      <c r="G6" s="29"/>
      <c r="H6" s="40"/>
      <c r="I6" s="29"/>
      <c r="J6" s="29"/>
      <c r="K6" s="29"/>
    </row>
    <row r="7" spans="1:13">
      <c r="A7" s="34" t="s">
        <v>1058</v>
      </c>
      <c r="B7" s="34" t="s">
        <v>1059</v>
      </c>
      <c r="C7" s="34" t="s">
        <v>1065</v>
      </c>
      <c r="D7" s="34" t="s">
        <v>1066</v>
      </c>
      <c r="E7" s="34" t="s">
        <v>1067</v>
      </c>
      <c r="F7" s="34" t="s">
        <v>1068</v>
      </c>
      <c r="G7" s="34" t="s">
        <v>1069</v>
      </c>
      <c r="H7" s="35" t="s">
        <v>1070</v>
      </c>
      <c r="I7" s="34" t="s">
        <v>1071</v>
      </c>
      <c r="J7" s="34" t="s">
        <v>1072</v>
      </c>
      <c r="K7" s="34" t="s">
        <v>1073</v>
      </c>
    </row>
    <row r="8" spans="1:13">
      <c r="A8" s="258"/>
      <c r="B8" s="258"/>
      <c r="C8" s="258"/>
      <c r="D8" s="258" t="s">
        <v>1125</v>
      </c>
      <c r="E8" s="258" t="s">
        <v>1188</v>
      </c>
      <c r="F8" s="258" t="s">
        <v>1074</v>
      </c>
      <c r="G8" s="31" t="s">
        <v>223</v>
      </c>
      <c r="H8" s="310" t="s">
        <v>246</v>
      </c>
      <c r="I8" s="311" t="s">
        <v>519</v>
      </c>
      <c r="J8" s="16"/>
      <c r="K8" s="311" t="s">
        <v>247</v>
      </c>
      <c r="M8" s="13" t="str">
        <f>"COMMENT ON COLUMN PG_SILVER."&amp;G8&amp;"."&amp;H8&amp;" IS '"&amp;K8&amp;"';"</f>
        <v>COMMENT ON COLUMN PG_SILVER.AST_AR_INT_SMY.CDR_DT IS 'Ngày dữ liệu';</v>
      </c>
    </row>
    <row r="9" spans="1:13">
      <c r="A9" s="258"/>
      <c r="B9" s="258"/>
      <c r="C9" s="258"/>
      <c r="D9" s="258"/>
      <c r="E9" s="258" t="s">
        <v>1188</v>
      </c>
      <c r="F9" s="32" t="s">
        <v>1093</v>
      </c>
      <c r="G9" s="31" t="s">
        <v>223</v>
      </c>
      <c r="H9" s="310" t="s">
        <v>316</v>
      </c>
      <c r="I9" s="311" t="s">
        <v>1083</v>
      </c>
      <c r="J9" s="16">
        <v>32</v>
      </c>
      <c r="K9" s="311" t="s">
        <v>1094</v>
      </c>
      <c r="M9" s="13" t="str">
        <f>"COMMENT ON COLUMN PG_SILVER."&amp;G9&amp;"."&amp;H9&amp;" IS '"&amp;K9&amp;"';"</f>
        <v>COMMENT ON COLUMN PG_SILVER.AST_AR_INT_SMY.SRC_STM_CODE IS 'Mã nguồn dữ liệu';</v>
      </c>
    </row>
    <row r="10" spans="1:13">
      <c r="A10" s="285" t="s">
        <v>505</v>
      </c>
      <c r="B10" s="311" t="s">
        <v>506</v>
      </c>
      <c r="C10" s="285" t="s">
        <v>511</v>
      </c>
      <c r="D10" s="258" t="s">
        <v>1126</v>
      </c>
      <c r="E10" s="258" t="s">
        <v>1188</v>
      </c>
      <c r="F10" s="311" t="s">
        <v>1077</v>
      </c>
      <c r="G10" s="31" t="s">
        <v>223</v>
      </c>
      <c r="H10" s="41" t="s">
        <v>1078</v>
      </c>
      <c r="I10" s="311" t="s">
        <v>1079</v>
      </c>
      <c r="J10" s="258">
        <v>32</v>
      </c>
      <c r="K10" s="258" t="s">
        <v>1127</v>
      </c>
      <c r="M10" s="13" t="str">
        <f>"COMMENT ON COLUMN PG_SILVER."&amp;G10&amp;"."&amp;H10&amp;" IS '"&amp;K10&amp;"';"</f>
        <v>COMMENT ON COLUMN PG_SILVER.AST_AR_INT_SMY.AR_ID IS 'ID hợp đồng';</v>
      </c>
    </row>
    <row r="11" spans="1:13">
      <c r="A11" s="285" t="s">
        <v>505</v>
      </c>
      <c r="B11" s="311" t="s">
        <v>506</v>
      </c>
      <c r="C11" s="285" t="s">
        <v>511</v>
      </c>
      <c r="D11" s="258" t="s">
        <v>1128</v>
      </c>
      <c r="E11" s="258" t="s">
        <v>1188</v>
      </c>
      <c r="F11" s="311" t="s">
        <v>928</v>
      </c>
      <c r="G11" s="31" t="s">
        <v>223</v>
      </c>
      <c r="H11" s="41" t="s">
        <v>1082</v>
      </c>
      <c r="I11" s="311" t="s">
        <v>1083</v>
      </c>
      <c r="J11" s="16">
        <v>40</v>
      </c>
      <c r="K11" s="258" t="s">
        <v>249</v>
      </c>
      <c r="M11" s="13" t="str">
        <f>"COMMENT ON COLUMN PG_SILVER."&amp;G11&amp;"."&amp;H11&amp;" IS '"&amp;K11&amp;"';"</f>
        <v>COMMENT ON COLUMN PG_SILVER.AST_AR_INT_SMY.AR_CODE IS 'Mã hợp đồng';</v>
      </c>
    </row>
    <row r="12" spans="1:13">
      <c r="A12" s="285" t="s">
        <v>505</v>
      </c>
      <c r="B12" s="311" t="s">
        <v>506</v>
      </c>
      <c r="C12" s="285" t="s">
        <v>511</v>
      </c>
      <c r="D12" s="41" t="s">
        <v>1129</v>
      </c>
      <c r="E12" s="258" t="s">
        <v>1188</v>
      </c>
      <c r="F12" s="258" t="s">
        <v>1086</v>
      </c>
      <c r="G12" s="31" t="s">
        <v>223</v>
      </c>
      <c r="H12" s="42" t="s">
        <v>1087</v>
      </c>
      <c r="I12" s="258" t="s">
        <v>1079</v>
      </c>
      <c r="J12" s="258">
        <v>32</v>
      </c>
      <c r="K12" s="258" t="s">
        <v>1130</v>
      </c>
      <c r="M12" s="13" t="str">
        <f>"COMMENT ON COLUMN PG_SILVER."&amp;G12&amp;"."&amp;H12&amp;" IS '"&amp;K12&amp;"';"</f>
        <v>COMMENT ON COLUMN PG_SILVER.AST_AR_INT_SMY.ORIG_AR_ID IS 'ID hợp đồng gốc';</v>
      </c>
    </row>
    <row r="13" spans="1:13">
      <c r="A13" s="285" t="s">
        <v>505</v>
      </c>
      <c r="B13" s="311" t="s">
        <v>506</v>
      </c>
      <c r="C13" s="285" t="s">
        <v>511</v>
      </c>
      <c r="D13" s="41" t="s">
        <v>1131</v>
      </c>
      <c r="E13" s="258" t="s">
        <v>1188</v>
      </c>
      <c r="F13" s="258" t="s">
        <v>1090</v>
      </c>
      <c r="G13" s="31" t="s">
        <v>223</v>
      </c>
      <c r="H13" s="42" t="s">
        <v>1091</v>
      </c>
      <c r="I13" s="258" t="s">
        <v>1083</v>
      </c>
      <c r="J13" s="258">
        <v>40</v>
      </c>
      <c r="K13" s="258" t="s">
        <v>1092</v>
      </c>
      <c r="M13" s="13" t="str">
        <f>"COMMENT ON COLUMN PG_SILVER."&amp;G13&amp;"."&amp;H13&amp;" IS '"&amp;K13&amp;"';"</f>
        <v>COMMENT ON COLUMN PG_SILVER.AST_AR_INT_SMY.ORIG_AR_CODE IS 'Mã hợp đồng gốc';</v>
      </c>
    </row>
    <row r="14" spans="1:13">
      <c r="A14" s="285" t="s">
        <v>505</v>
      </c>
      <c r="B14" s="311" t="s">
        <v>506</v>
      </c>
      <c r="C14" s="258" t="s">
        <v>508</v>
      </c>
      <c r="D14" s="258" t="s">
        <v>1189</v>
      </c>
      <c r="E14" s="258" t="s">
        <v>1188</v>
      </c>
      <c r="F14" s="258" t="s">
        <v>1190</v>
      </c>
      <c r="G14" s="31" t="s">
        <v>223</v>
      </c>
      <c r="H14" s="42" t="s">
        <v>1191</v>
      </c>
      <c r="I14" s="258" t="s">
        <v>1106</v>
      </c>
      <c r="J14" s="258">
        <v>32.5</v>
      </c>
      <c r="K14" s="258" t="s">
        <v>1192</v>
      </c>
      <c r="M14" s="13" t="str">
        <f>"COMMENT ON COLUMN PG_SILVER."&amp;G14&amp;"."&amp;H14&amp;" IS '"&amp;K14&amp;"';"</f>
        <v>COMMENT ON COLUMN PG_SILVER.AST_AR_INT_SMY.TOT_ACR_INT_AMT_FCY IS 'Lãi dự thu';</v>
      </c>
    </row>
    <row r="15" spans="1:13">
      <c r="A15" s="285"/>
      <c r="B15" s="311" t="s">
        <v>1063</v>
      </c>
      <c r="C15" s="258" t="s">
        <v>1193</v>
      </c>
      <c r="D15" s="258" t="s">
        <v>1194</v>
      </c>
      <c r="E15" s="258" t="s">
        <v>1188</v>
      </c>
      <c r="F15" s="258" t="s">
        <v>1195</v>
      </c>
      <c r="G15" s="31" t="s">
        <v>223</v>
      </c>
      <c r="H15" s="42" t="s">
        <v>1196</v>
      </c>
      <c r="I15" s="258" t="s">
        <v>1106</v>
      </c>
      <c r="J15" s="258">
        <v>32.5</v>
      </c>
      <c r="K15" s="258" t="s">
        <v>1197</v>
      </c>
      <c r="M15" s="13" t="str">
        <f>"COMMENT ON COLUMN PG_SILVER."&amp;G15&amp;"."&amp;H15&amp;" IS '"&amp;K15&amp;"';"</f>
        <v>COMMENT ON COLUMN PG_SILVER.AST_AR_INT_SMY.TOT_INT_PAID_AMT_FCY IS 'Lãi đã trả';</v>
      </c>
    </row>
    <row r="16" spans="1:13">
      <c r="A16" s="285" t="s">
        <v>505</v>
      </c>
      <c r="B16" s="311" t="s">
        <v>506</v>
      </c>
      <c r="C16" s="258" t="s">
        <v>508</v>
      </c>
      <c r="D16" s="41" t="s">
        <v>1198</v>
      </c>
      <c r="E16" s="258" t="s">
        <v>1188</v>
      </c>
      <c r="F16" s="258" t="s">
        <v>1199</v>
      </c>
      <c r="G16" s="31" t="s">
        <v>223</v>
      </c>
      <c r="H16" s="42" t="s">
        <v>1200</v>
      </c>
      <c r="I16" s="258" t="s">
        <v>1106</v>
      </c>
      <c r="J16" s="258">
        <v>32.5</v>
      </c>
      <c r="K16" s="258" t="s">
        <v>1201</v>
      </c>
      <c r="M16" s="13" t="str">
        <f>"COMMENT ON COLUMN PG_SILVER."&amp;G16&amp;"."&amp;H16&amp;" IS '"&amp;K16&amp;"';"</f>
        <v>COMMENT ON COLUMN PG_SILVER.AST_AR_INT_SMY.TOT_INT_DUE_AMT_FCY IS 'Lãi phải trả đến hạn';</v>
      </c>
    </row>
    <row r="17" spans="1:13">
      <c r="A17" s="285" t="s">
        <v>505</v>
      </c>
      <c r="B17" s="311" t="s">
        <v>506</v>
      </c>
      <c r="C17" s="258" t="s">
        <v>508</v>
      </c>
      <c r="D17" s="41" t="s">
        <v>1202</v>
      </c>
      <c r="E17" s="258" t="s">
        <v>1188</v>
      </c>
      <c r="F17" s="258" t="s">
        <v>1203</v>
      </c>
      <c r="G17" s="31" t="s">
        <v>223</v>
      </c>
      <c r="H17" s="42" t="s">
        <v>1204</v>
      </c>
      <c r="I17" s="258" t="s">
        <v>1106</v>
      </c>
      <c r="J17" s="258">
        <v>32.5</v>
      </c>
      <c r="K17" s="258" t="s">
        <v>1205</v>
      </c>
      <c r="M17" s="13" t="str">
        <f>"COMMENT ON COLUMN PG_SILVER."&amp;G17&amp;"."&amp;H17&amp;" IS '"&amp;K17&amp;"';"</f>
        <v>COMMENT ON COLUMN PG_SILVER.AST_AR_INT_SMY.TOT_INT_ODUE_AMT_FCY IS 'Lãi phải trả quá hạn';</v>
      </c>
    </row>
    <row r="18" spans="1:13">
      <c r="A18" s="285"/>
      <c r="B18" s="311"/>
      <c r="C18" s="258"/>
      <c r="D18" s="258"/>
      <c r="E18" s="258"/>
      <c r="F18" s="258"/>
      <c r="G18" s="31"/>
      <c r="H18" s="41"/>
      <c r="I18" s="258"/>
      <c r="J18" s="258"/>
      <c r="K18" s="258"/>
    </row>
    <row r="19" spans="1:13">
      <c r="H19" s="44"/>
    </row>
    <row r="20" spans="1:13">
      <c r="H20" s="44"/>
    </row>
    <row r="21" spans="1:13">
      <c r="H21" s="44"/>
    </row>
    <row r="22" spans="1:13">
      <c r="H22" s="44"/>
    </row>
    <row r="23" spans="1:13">
      <c r="H23" s="44"/>
    </row>
    <row r="24" spans="1:13">
      <c r="H24" s="44"/>
    </row>
    <row r="25" spans="1:13">
      <c r="H25" s="44"/>
    </row>
    <row r="26" spans="1:13">
      <c r="H26" s="44"/>
    </row>
    <row r="27" spans="1:13">
      <c r="H27" s="44"/>
    </row>
    <row r="28" spans="1:13">
      <c r="H28" s="44"/>
    </row>
    <row r="29" spans="1:13">
      <c r="H29" s="44"/>
    </row>
    <row r="30" spans="1:13">
      <c r="H30" s="44"/>
    </row>
    <row r="31" spans="1:13">
      <c r="H31" s="44"/>
    </row>
    <row r="32" spans="1:13">
      <c r="H32" s="44"/>
    </row>
    <row r="33" spans="8:8">
      <c r="H33" s="44"/>
    </row>
    <row r="34" spans="8:8">
      <c r="H34" s="44"/>
    </row>
    <row r="35" spans="8:8">
      <c r="H35" s="44"/>
    </row>
    <row r="36" spans="8:8">
      <c r="H36" s="44"/>
    </row>
    <row r="37" spans="8:8">
      <c r="H37" s="44"/>
    </row>
    <row r="38" spans="8:8">
      <c r="H38" s="44"/>
    </row>
    <row r="39" spans="8:8">
      <c r="H39" s="44"/>
    </row>
    <row r="40" spans="8:8">
      <c r="H40" s="44"/>
    </row>
    <row r="41" spans="8:8">
      <c r="H41" s="44"/>
    </row>
    <row r="42" spans="8:8">
      <c r="H42" s="44"/>
    </row>
    <row r="43" spans="8:8">
      <c r="H43" s="44"/>
    </row>
    <row r="44" spans="8:8">
      <c r="H44" s="44"/>
    </row>
    <row r="45" spans="8:8">
      <c r="H45" s="44"/>
    </row>
    <row r="46" spans="8:8">
      <c r="H46" s="44"/>
    </row>
    <row r="47" spans="8:8">
      <c r="H47" s="44"/>
    </row>
    <row r="48" spans="8:8">
      <c r="H48" s="44"/>
    </row>
    <row r="49" spans="8:8">
      <c r="H49" s="44"/>
    </row>
    <row r="50" spans="8:8">
      <c r="H50" s="44"/>
    </row>
    <row r="51" spans="8:8">
      <c r="H51" s="44"/>
    </row>
    <row r="52" spans="8:8">
      <c r="H52" s="44"/>
    </row>
    <row r="53" spans="8:8">
      <c r="H53" s="44"/>
    </row>
    <row r="54" spans="8:8">
      <c r="H54" s="44"/>
    </row>
    <row r="55" spans="8:8">
      <c r="H55" s="44"/>
    </row>
    <row r="56" spans="8:8">
      <c r="H56" s="44"/>
    </row>
    <row r="57" spans="8:8">
      <c r="H57" s="44"/>
    </row>
    <row r="58" spans="8:8">
      <c r="H58" s="44"/>
    </row>
    <row r="59" spans="8:8">
      <c r="H59" s="44"/>
    </row>
    <row r="60" spans="8:8">
      <c r="H60" s="44"/>
    </row>
    <row r="61" spans="8:8">
      <c r="H61" s="44"/>
    </row>
    <row r="62" spans="8:8">
      <c r="H62" s="44"/>
    </row>
    <row r="63" spans="8:8">
      <c r="H63" s="44"/>
    </row>
    <row r="64" spans="8:8">
      <c r="H64" s="44"/>
    </row>
    <row r="65" spans="8:8">
      <c r="H65" s="44"/>
    </row>
    <row r="66" spans="8:8">
      <c r="H66" s="44"/>
    </row>
    <row r="67" spans="8:8">
      <c r="H67" s="44"/>
    </row>
    <row r="68" spans="8:8">
      <c r="H68" s="44"/>
    </row>
    <row r="69" spans="8:8">
      <c r="H69" s="44"/>
    </row>
    <row r="70" spans="8:8">
      <c r="H70" s="44"/>
    </row>
    <row r="71" spans="8:8">
      <c r="H71" s="44"/>
    </row>
    <row r="72" spans="8:8">
      <c r="H72" s="44"/>
    </row>
    <row r="73" spans="8:8">
      <c r="H73" s="44"/>
    </row>
    <row r="74" spans="8:8">
      <c r="H74" s="44"/>
    </row>
    <row r="75" spans="8:8">
      <c r="H75" s="44"/>
    </row>
    <row r="76" spans="8:8">
      <c r="H76" s="44"/>
    </row>
    <row r="77" spans="8:8">
      <c r="H77" s="44"/>
    </row>
    <row r="78" spans="8:8">
      <c r="H78" s="44"/>
    </row>
    <row r="79" spans="8:8">
      <c r="H79" s="44"/>
    </row>
    <row r="80" spans="8:8">
      <c r="H80" s="44"/>
    </row>
    <row r="81" spans="8:8">
      <c r="H81" s="44"/>
    </row>
    <row r="82" spans="8:8">
      <c r="H82" s="44"/>
    </row>
    <row r="83" spans="8:8">
      <c r="H83" s="44"/>
    </row>
    <row r="84" spans="8:8">
      <c r="H84" s="44"/>
    </row>
    <row r="85" spans="8:8">
      <c r="H85" s="44"/>
    </row>
    <row r="86" spans="8:8">
      <c r="H86" s="44"/>
    </row>
    <row r="87" spans="8:8">
      <c r="H87" s="44"/>
    </row>
    <row r="88" spans="8:8">
      <c r="H88" s="44"/>
    </row>
    <row r="89" spans="8:8">
      <c r="H89" s="44"/>
    </row>
    <row r="90" spans="8:8">
      <c r="H90" s="44"/>
    </row>
    <row r="91" spans="8:8">
      <c r="H91" s="44"/>
    </row>
    <row r="92" spans="8:8">
      <c r="H92" s="44"/>
    </row>
    <row r="93" spans="8:8">
      <c r="H93" s="44"/>
    </row>
    <row r="94" spans="8:8">
      <c r="H94" s="44"/>
    </row>
    <row r="95" spans="8:8">
      <c r="H95" s="44"/>
    </row>
    <row r="96" spans="8:8">
      <c r="H96" s="44"/>
    </row>
    <row r="97" spans="8:8">
      <c r="H97" s="44"/>
    </row>
    <row r="98" spans="8:8">
      <c r="H98" s="44"/>
    </row>
    <row r="99" spans="8:8">
      <c r="H99" s="44"/>
    </row>
    <row r="100" spans="8:8">
      <c r="H100" s="44"/>
    </row>
    <row r="101" spans="8:8">
      <c r="H101" s="44"/>
    </row>
    <row r="102" spans="8:8">
      <c r="H102" s="44"/>
    </row>
    <row r="103" spans="8:8">
      <c r="H103" s="44"/>
    </row>
    <row r="104" spans="8:8">
      <c r="H104" s="44"/>
    </row>
    <row r="105" spans="8:8">
      <c r="H105" s="44"/>
    </row>
    <row r="106" spans="8:8">
      <c r="H106" s="44"/>
    </row>
    <row r="107" spans="8:8">
      <c r="H107" s="44"/>
    </row>
    <row r="108" spans="8:8">
      <c r="H108" s="44"/>
    </row>
    <row r="109" spans="8:8">
      <c r="H109" s="44"/>
    </row>
    <row r="110" spans="8:8">
      <c r="H110" s="44"/>
    </row>
    <row r="111" spans="8:8">
      <c r="H111" s="44"/>
    </row>
    <row r="112" spans="8:8">
      <c r="H112" s="44"/>
    </row>
    <row r="113" spans="8:8">
      <c r="H113" s="44"/>
    </row>
    <row r="114" spans="8:8">
      <c r="H114" s="44"/>
    </row>
    <row r="115" spans="8:8">
      <c r="H115" s="44"/>
    </row>
    <row r="116" spans="8:8">
      <c r="H116" s="44"/>
    </row>
    <row r="117" spans="8:8">
      <c r="H117" s="44"/>
    </row>
    <row r="118" spans="8:8">
      <c r="H118" s="44"/>
    </row>
    <row r="119" spans="8:8">
      <c r="H119" s="44"/>
    </row>
    <row r="120" spans="8:8">
      <c r="H120" s="44"/>
    </row>
    <row r="121" spans="8:8">
      <c r="H121" s="44"/>
    </row>
    <row r="122" spans="8:8">
      <c r="H122" s="44"/>
    </row>
    <row r="123" spans="8:8">
      <c r="H123" s="44"/>
    </row>
    <row r="124" spans="8:8">
      <c r="H124" s="44"/>
    </row>
    <row r="125" spans="8:8">
      <c r="H125" s="44"/>
    </row>
    <row r="126" spans="8:8">
      <c r="H126" s="44"/>
    </row>
    <row r="127" spans="8:8">
      <c r="H127" s="44"/>
    </row>
    <row r="128" spans="8:8">
      <c r="H128" s="44"/>
    </row>
    <row r="129" spans="8:8">
      <c r="H129" s="44"/>
    </row>
    <row r="130" spans="8:8">
      <c r="H130" s="44"/>
    </row>
    <row r="131" spans="8:8">
      <c r="H131" s="44"/>
    </row>
    <row r="132" spans="8:8">
      <c r="H132" s="44"/>
    </row>
    <row r="133" spans="8:8">
      <c r="H133" s="44"/>
    </row>
    <row r="134" spans="8:8">
      <c r="H134" s="44"/>
    </row>
    <row r="135" spans="8:8">
      <c r="H135" s="44"/>
    </row>
    <row r="136" spans="8:8">
      <c r="H136" s="44"/>
    </row>
    <row r="137" spans="8:8">
      <c r="H137" s="44"/>
    </row>
    <row r="138" spans="8:8">
      <c r="H138" s="44"/>
    </row>
    <row r="139" spans="8:8">
      <c r="H139" s="44"/>
    </row>
    <row r="140" spans="8:8">
      <c r="H140" s="44"/>
    </row>
    <row r="141" spans="8:8">
      <c r="H141" s="44"/>
    </row>
    <row r="142" spans="8:8">
      <c r="H142" s="44"/>
    </row>
    <row r="143" spans="8:8">
      <c r="H143" s="44"/>
    </row>
    <row r="144" spans="8:8">
      <c r="H144" s="44"/>
    </row>
    <row r="145" spans="8:8">
      <c r="H145" s="44"/>
    </row>
    <row r="146" spans="8:8">
      <c r="H146" s="44"/>
    </row>
    <row r="147" spans="8:8">
      <c r="H147" s="44"/>
    </row>
    <row r="148" spans="8:8">
      <c r="H148" s="44"/>
    </row>
    <row r="149" spans="8:8">
      <c r="H149" s="44"/>
    </row>
    <row r="150" spans="8:8">
      <c r="H150" s="44"/>
    </row>
    <row r="151" spans="8:8">
      <c r="H151" s="44"/>
    </row>
    <row r="152" spans="8:8">
      <c r="H152" s="44"/>
    </row>
    <row r="153" spans="8:8">
      <c r="H153" s="44"/>
    </row>
    <row r="154" spans="8:8">
      <c r="H154" s="44"/>
    </row>
    <row r="155" spans="8:8">
      <c r="H155" s="44"/>
    </row>
    <row r="156" spans="8:8">
      <c r="H156" s="44"/>
    </row>
    <row r="157" spans="8:8">
      <c r="H157" s="44"/>
    </row>
    <row r="158" spans="8:8">
      <c r="H158" s="44"/>
    </row>
    <row r="159" spans="8:8">
      <c r="H159" s="44"/>
    </row>
    <row r="160" spans="8:8">
      <c r="H160" s="44"/>
    </row>
    <row r="161" spans="8:8">
      <c r="H161" s="44"/>
    </row>
    <row r="162" spans="8:8">
      <c r="H162" s="44"/>
    </row>
    <row r="163" spans="8:8">
      <c r="H163" s="44"/>
    </row>
    <row r="164" spans="8:8">
      <c r="H164" s="44"/>
    </row>
    <row r="165" spans="8:8">
      <c r="H165" s="44"/>
    </row>
    <row r="166" spans="8:8">
      <c r="H166" s="44"/>
    </row>
    <row r="167" spans="8:8">
      <c r="H167" s="44"/>
    </row>
    <row r="168" spans="8:8">
      <c r="H168" s="44"/>
    </row>
    <row r="169" spans="8:8">
      <c r="H169" s="44"/>
    </row>
    <row r="170" spans="8:8">
      <c r="H170" s="44"/>
    </row>
    <row r="171" spans="8:8">
      <c r="H171" s="44"/>
    </row>
    <row r="172" spans="8:8">
      <c r="H172" s="44"/>
    </row>
    <row r="173" spans="8:8">
      <c r="H173" s="44"/>
    </row>
    <row r="174" spans="8:8">
      <c r="H174" s="44"/>
    </row>
    <row r="175" spans="8:8">
      <c r="H175" s="44"/>
    </row>
    <row r="176" spans="8:8">
      <c r="H176" s="44"/>
    </row>
    <row r="177" spans="8:8">
      <c r="H177" s="44"/>
    </row>
    <row r="178" spans="8:8">
      <c r="H178" s="44"/>
    </row>
    <row r="179" spans="8:8">
      <c r="H179" s="44"/>
    </row>
    <row r="180" spans="8:8">
      <c r="H180" s="44"/>
    </row>
    <row r="181" spans="8:8">
      <c r="H181" s="44"/>
    </row>
    <row r="182" spans="8:8">
      <c r="H182" s="44"/>
    </row>
    <row r="183" spans="8:8">
      <c r="H183" s="44"/>
    </row>
    <row r="184" spans="8:8">
      <c r="H184" s="44"/>
    </row>
    <row r="185" spans="8:8">
      <c r="H185" s="44"/>
    </row>
    <row r="186" spans="8:8">
      <c r="H186" s="44"/>
    </row>
    <row r="187" spans="8:8">
      <c r="H187" s="44"/>
    </row>
    <row r="188" spans="8:8">
      <c r="H188" s="44"/>
    </row>
    <row r="189" spans="8:8">
      <c r="H189" s="44"/>
    </row>
    <row r="190" spans="8:8">
      <c r="H190" s="44"/>
    </row>
    <row r="191" spans="8:8">
      <c r="H191" s="44"/>
    </row>
    <row r="192" spans="8:8">
      <c r="H192" s="44"/>
    </row>
    <row r="193" spans="8:8">
      <c r="H193" s="44"/>
    </row>
    <row r="194" spans="8:8">
      <c r="H194" s="44"/>
    </row>
    <row r="195" spans="8:8">
      <c r="H195" s="44"/>
    </row>
    <row r="196" spans="8:8">
      <c r="H196" s="44"/>
    </row>
    <row r="197" spans="8:8">
      <c r="H197" s="44"/>
    </row>
    <row r="198" spans="8:8">
      <c r="H198" s="44"/>
    </row>
    <row r="199" spans="8:8">
      <c r="H199" s="44"/>
    </row>
    <row r="200" spans="8:8">
      <c r="H200" s="44"/>
    </row>
    <row r="201" spans="8:8">
      <c r="H201" s="44"/>
    </row>
    <row r="202" spans="8:8">
      <c r="H202" s="44"/>
    </row>
    <row r="203" spans="8:8">
      <c r="H203" s="44"/>
    </row>
    <row r="204" spans="8:8">
      <c r="H204" s="44"/>
    </row>
    <row r="205" spans="8:8">
      <c r="H205" s="44"/>
    </row>
    <row r="206" spans="8:8">
      <c r="H206" s="44"/>
    </row>
    <row r="207" spans="8:8">
      <c r="H207" s="44"/>
    </row>
    <row r="208" spans="8:8">
      <c r="H208" s="44"/>
    </row>
    <row r="209" spans="8:8">
      <c r="H209" s="44"/>
    </row>
    <row r="210" spans="8:8">
      <c r="H210" s="44"/>
    </row>
    <row r="211" spans="8:8">
      <c r="H211" s="44"/>
    </row>
    <row r="212" spans="8:8">
      <c r="H212" s="44"/>
    </row>
    <row r="213" spans="8:8">
      <c r="H213" s="44"/>
    </row>
    <row r="214" spans="8:8">
      <c r="H214" s="44"/>
    </row>
    <row r="215" spans="8:8">
      <c r="H215" s="44"/>
    </row>
    <row r="216" spans="8:8">
      <c r="H216" s="44"/>
    </row>
    <row r="217" spans="8:8">
      <c r="H217" s="44"/>
    </row>
    <row r="218" spans="8:8">
      <c r="H218" s="44"/>
    </row>
    <row r="219" spans="8:8">
      <c r="H219" s="44"/>
    </row>
    <row r="220" spans="8:8">
      <c r="H220" s="44"/>
    </row>
    <row r="221" spans="8:8">
      <c r="H221" s="44"/>
    </row>
    <row r="222" spans="8:8">
      <c r="H222" s="44"/>
    </row>
    <row r="223" spans="8:8">
      <c r="H223" s="44"/>
    </row>
    <row r="224" spans="8:8">
      <c r="H224" s="44"/>
    </row>
    <row r="225" spans="8:8">
      <c r="H225" s="44"/>
    </row>
    <row r="226" spans="8:8">
      <c r="H226" s="44"/>
    </row>
    <row r="227" spans="8:8">
      <c r="H227" s="44"/>
    </row>
    <row r="228" spans="8:8">
      <c r="H228" s="44"/>
    </row>
    <row r="229" spans="8:8">
      <c r="H229" s="44"/>
    </row>
    <row r="230" spans="8:8">
      <c r="H230" s="44"/>
    </row>
    <row r="231" spans="8:8">
      <c r="H231" s="44"/>
    </row>
    <row r="232" spans="8:8">
      <c r="H232" s="44"/>
    </row>
    <row r="233" spans="8:8">
      <c r="H233" s="44"/>
    </row>
    <row r="234" spans="8:8">
      <c r="H234" s="44"/>
    </row>
    <row r="235" spans="8:8">
      <c r="H235" s="44"/>
    </row>
    <row r="236" spans="8:8">
      <c r="H236" s="44"/>
    </row>
    <row r="237" spans="8:8">
      <c r="H237" s="44"/>
    </row>
    <row r="238" spans="8:8">
      <c r="H238" s="44"/>
    </row>
    <row r="239" spans="8:8">
      <c r="H239" s="44"/>
    </row>
    <row r="240" spans="8:8">
      <c r="H240" s="44"/>
    </row>
    <row r="241" spans="8:8">
      <c r="H241" s="44"/>
    </row>
    <row r="242" spans="8:8">
      <c r="H242" s="44"/>
    </row>
    <row r="243" spans="8:8">
      <c r="H243" s="44"/>
    </row>
    <row r="244" spans="8:8">
      <c r="H244" s="44"/>
    </row>
    <row r="245" spans="8:8">
      <c r="H245" s="44"/>
    </row>
    <row r="246" spans="8:8">
      <c r="H246" s="44"/>
    </row>
    <row r="247" spans="8:8">
      <c r="H247" s="44"/>
    </row>
    <row r="248" spans="8:8">
      <c r="H248" s="44"/>
    </row>
    <row r="249" spans="8:8">
      <c r="H249" s="44"/>
    </row>
    <row r="250" spans="8:8">
      <c r="H250" s="44"/>
    </row>
    <row r="251" spans="8:8">
      <c r="H251" s="44"/>
    </row>
    <row r="252" spans="8:8">
      <c r="H252" s="44"/>
    </row>
    <row r="253" spans="8:8">
      <c r="H253" s="44"/>
    </row>
    <row r="254" spans="8:8">
      <c r="H254" s="44"/>
    </row>
    <row r="255" spans="8:8">
      <c r="H255" s="44"/>
    </row>
    <row r="256" spans="8:8">
      <c r="H256" s="44"/>
    </row>
    <row r="257" spans="8:8">
      <c r="H257" s="44"/>
    </row>
    <row r="258" spans="8:8">
      <c r="H258" s="44"/>
    </row>
    <row r="259" spans="8:8">
      <c r="H259" s="44"/>
    </row>
    <row r="260" spans="8:8">
      <c r="H260" s="44"/>
    </row>
    <row r="261" spans="8:8">
      <c r="H261" s="44"/>
    </row>
    <row r="262" spans="8:8">
      <c r="H262" s="44"/>
    </row>
    <row r="263" spans="8:8">
      <c r="H263" s="44"/>
    </row>
    <row r="264" spans="8:8">
      <c r="H264" s="44"/>
    </row>
    <row r="265" spans="8:8">
      <c r="H265" s="44"/>
    </row>
    <row r="266" spans="8:8">
      <c r="H266" s="44"/>
    </row>
    <row r="267" spans="8:8">
      <c r="H267" s="44"/>
    </row>
    <row r="268" spans="8:8">
      <c r="H268" s="44"/>
    </row>
    <row r="269" spans="8:8">
      <c r="H269" s="44"/>
    </row>
    <row r="270" spans="8:8">
      <c r="H270" s="44"/>
    </row>
    <row r="271" spans="8:8">
      <c r="H271" s="44"/>
    </row>
    <row r="272" spans="8:8">
      <c r="H272" s="44"/>
    </row>
    <row r="273" spans="8:8">
      <c r="H273" s="44"/>
    </row>
    <row r="274" spans="8:8">
      <c r="H274" s="44"/>
    </row>
    <row r="275" spans="8:8">
      <c r="H275" s="44"/>
    </row>
    <row r="276" spans="8:8">
      <c r="H276" s="44"/>
    </row>
    <row r="277" spans="8:8">
      <c r="H277" s="44"/>
    </row>
    <row r="278" spans="8:8">
      <c r="H278" s="44"/>
    </row>
    <row r="279" spans="8:8">
      <c r="H279" s="44"/>
    </row>
    <row r="280" spans="8:8">
      <c r="H280" s="44"/>
    </row>
    <row r="281" spans="8:8">
      <c r="H281" s="44"/>
    </row>
    <row r="282" spans="8:8">
      <c r="H282" s="44"/>
    </row>
    <row r="283" spans="8:8">
      <c r="H283" s="44"/>
    </row>
    <row r="284" spans="8:8">
      <c r="H284" s="44"/>
    </row>
    <row r="285" spans="8:8">
      <c r="H285" s="44"/>
    </row>
    <row r="286" spans="8:8">
      <c r="H286" s="44"/>
    </row>
    <row r="287" spans="8:8">
      <c r="H287" s="44"/>
    </row>
    <row r="288" spans="8:8">
      <c r="H288" s="44"/>
    </row>
    <row r="289" spans="8:8">
      <c r="H289" s="44"/>
    </row>
    <row r="290" spans="8:8">
      <c r="H290" s="44"/>
    </row>
    <row r="291" spans="8:8">
      <c r="H291" s="44"/>
    </row>
    <row r="292" spans="8:8">
      <c r="H292" s="44"/>
    </row>
    <row r="293" spans="8:8">
      <c r="H293" s="44"/>
    </row>
    <row r="294" spans="8:8">
      <c r="H294" s="44"/>
    </row>
    <row r="295" spans="8:8">
      <c r="H295" s="44"/>
    </row>
    <row r="296" spans="8:8">
      <c r="H296" s="44"/>
    </row>
    <row r="297" spans="8:8">
      <c r="H297" s="44"/>
    </row>
    <row r="298" spans="8:8">
      <c r="H298" s="44"/>
    </row>
    <row r="299" spans="8:8">
      <c r="H299" s="44"/>
    </row>
    <row r="300" spans="8:8">
      <c r="H300" s="44"/>
    </row>
    <row r="301" spans="8:8">
      <c r="H301" s="44"/>
    </row>
    <row r="302" spans="8:8">
      <c r="H302" s="44"/>
    </row>
    <row r="303" spans="8:8">
      <c r="H303" s="44"/>
    </row>
    <row r="304" spans="8:8">
      <c r="H304" s="44"/>
    </row>
    <row r="305" spans="8:8">
      <c r="H305" s="44"/>
    </row>
    <row r="306" spans="8:8">
      <c r="H306" s="44"/>
    </row>
    <row r="307" spans="8:8">
      <c r="H307" s="44"/>
    </row>
    <row r="308" spans="8:8">
      <c r="H308" s="44"/>
    </row>
    <row r="309" spans="8:8">
      <c r="H309" s="44"/>
    </row>
    <row r="310" spans="8:8">
      <c r="H310" s="44"/>
    </row>
    <row r="311" spans="8:8">
      <c r="H311" s="44"/>
    </row>
    <row r="312" spans="8:8">
      <c r="H312" s="44"/>
    </row>
    <row r="313" spans="8:8">
      <c r="H313" s="44"/>
    </row>
    <row r="314" spans="8:8">
      <c r="H314" s="44"/>
    </row>
    <row r="315" spans="8:8">
      <c r="H315" s="44"/>
    </row>
    <row r="316" spans="8:8">
      <c r="H316" s="44"/>
    </row>
    <row r="317" spans="8:8">
      <c r="H317" s="44"/>
    </row>
    <row r="318" spans="8:8">
      <c r="H318" s="44"/>
    </row>
    <row r="319" spans="8:8">
      <c r="H319" s="44"/>
    </row>
    <row r="320" spans="8:8">
      <c r="H320" s="44"/>
    </row>
    <row r="321" spans="8:8">
      <c r="H321" s="44"/>
    </row>
    <row r="322" spans="8:8">
      <c r="H322" s="44"/>
    </row>
    <row r="323" spans="8:8">
      <c r="H323" s="44"/>
    </row>
    <row r="324" spans="8:8">
      <c r="H324" s="44"/>
    </row>
    <row r="325" spans="8:8">
      <c r="H325" s="44"/>
    </row>
    <row r="326" spans="8:8">
      <c r="H326" s="44"/>
    </row>
    <row r="327" spans="8:8">
      <c r="H327" s="44"/>
    </row>
    <row r="328" spans="8:8">
      <c r="H328" s="44"/>
    </row>
    <row r="329" spans="8:8">
      <c r="H329" s="44"/>
    </row>
    <row r="330" spans="8:8">
      <c r="H330" s="44"/>
    </row>
    <row r="331" spans="8:8">
      <c r="H331" s="44"/>
    </row>
    <row r="332" spans="8:8">
      <c r="H332" s="44"/>
    </row>
    <row r="333" spans="8:8">
      <c r="H333" s="44"/>
    </row>
    <row r="334" spans="8:8">
      <c r="H334" s="44"/>
    </row>
    <row r="335" spans="8:8">
      <c r="H335" s="44"/>
    </row>
    <row r="336" spans="8:8">
      <c r="H336" s="44"/>
    </row>
    <row r="337" spans="8:8">
      <c r="H337" s="44"/>
    </row>
    <row r="338" spans="8:8">
      <c r="H338" s="44"/>
    </row>
    <row r="339" spans="8:8">
      <c r="H339" s="44"/>
    </row>
    <row r="340" spans="8:8">
      <c r="H340" s="44"/>
    </row>
    <row r="341" spans="8:8">
      <c r="H341" s="44"/>
    </row>
    <row r="342" spans="8:8">
      <c r="H342" s="44"/>
    </row>
    <row r="343" spans="8:8">
      <c r="H343" s="44"/>
    </row>
    <row r="344" spans="8:8">
      <c r="H344" s="44"/>
    </row>
    <row r="345" spans="8:8">
      <c r="H345" s="44"/>
    </row>
    <row r="346" spans="8:8">
      <c r="H346" s="44"/>
    </row>
    <row r="347" spans="8:8">
      <c r="H347" s="44"/>
    </row>
    <row r="348" spans="8:8">
      <c r="H348" s="44"/>
    </row>
    <row r="349" spans="8:8">
      <c r="H349" s="44"/>
    </row>
    <row r="350" spans="8:8">
      <c r="H350" s="44"/>
    </row>
    <row r="351" spans="8:8">
      <c r="H351" s="44"/>
    </row>
    <row r="352" spans="8:8">
      <c r="H352" s="44"/>
    </row>
    <row r="353" spans="8:8">
      <c r="H353" s="44"/>
    </row>
    <row r="354" spans="8:8">
      <c r="H354" s="44"/>
    </row>
    <row r="355" spans="8:8">
      <c r="H355" s="44"/>
    </row>
    <row r="356" spans="8:8">
      <c r="H356" s="44"/>
    </row>
    <row r="357" spans="8:8">
      <c r="H357" s="44"/>
    </row>
    <row r="358" spans="8:8">
      <c r="H358" s="44"/>
    </row>
    <row r="359" spans="8:8">
      <c r="H359" s="44"/>
    </row>
    <row r="360" spans="8:8">
      <c r="H360" s="44"/>
    </row>
    <row r="361" spans="8:8">
      <c r="H361" s="44"/>
    </row>
    <row r="362" spans="8:8">
      <c r="H362" s="44"/>
    </row>
    <row r="363" spans="8:8">
      <c r="H363" s="44"/>
    </row>
    <row r="364" spans="8:8">
      <c r="H364" s="44"/>
    </row>
    <row r="365" spans="8:8">
      <c r="H365" s="44"/>
    </row>
    <row r="366" spans="8:8">
      <c r="H366" s="44"/>
    </row>
    <row r="367" spans="8:8">
      <c r="H367" s="44"/>
    </row>
    <row r="368" spans="8:8">
      <c r="H368" s="44"/>
    </row>
    <row r="369" spans="8:8">
      <c r="H369" s="44"/>
    </row>
    <row r="370" spans="8:8">
      <c r="H370" s="44"/>
    </row>
    <row r="371" spans="8:8">
      <c r="H371" s="44"/>
    </row>
    <row r="372" spans="8:8">
      <c r="H372" s="44"/>
    </row>
    <row r="373" spans="8:8">
      <c r="H373" s="44"/>
    </row>
    <row r="374" spans="8:8">
      <c r="H374" s="44"/>
    </row>
    <row r="375" spans="8:8">
      <c r="H375" s="44"/>
    </row>
    <row r="376" spans="8:8">
      <c r="H376" s="44"/>
    </row>
    <row r="377" spans="8:8">
      <c r="H377" s="44"/>
    </row>
    <row r="378" spans="8:8">
      <c r="H378" s="44"/>
    </row>
    <row r="379" spans="8:8">
      <c r="H379" s="44"/>
    </row>
    <row r="380" spans="8:8">
      <c r="H380" s="44"/>
    </row>
    <row r="381" spans="8:8">
      <c r="H381" s="44"/>
    </row>
    <row r="382" spans="8:8">
      <c r="H382" s="44"/>
    </row>
    <row r="383" spans="8:8">
      <c r="H383" s="44"/>
    </row>
    <row r="384" spans="8:8">
      <c r="H384" s="44"/>
    </row>
    <row r="385" spans="8:8">
      <c r="H385" s="44"/>
    </row>
    <row r="386" spans="8:8">
      <c r="H386" s="44"/>
    </row>
    <row r="387" spans="8:8">
      <c r="H387" s="44"/>
    </row>
    <row r="388" spans="8:8">
      <c r="H388" s="44"/>
    </row>
    <row r="389" spans="8:8">
      <c r="H389" s="44"/>
    </row>
    <row r="390" spans="8:8">
      <c r="H390" s="44"/>
    </row>
    <row r="391" spans="8:8">
      <c r="H391" s="44"/>
    </row>
    <row r="392" spans="8:8">
      <c r="H392" s="44"/>
    </row>
    <row r="393" spans="8:8">
      <c r="H393" s="44"/>
    </row>
    <row r="394" spans="8:8">
      <c r="H394" s="44"/>
    </row>
    <row r="395" spans="8:8">
      <c r="H395" s="44"/>
    </row>
    <row r="396" spans="8:8">
      <c r="H396" s="44"/>
    </row>
    <row r="397" spans="8:8">
      <c r="H397" s="44"/>
    </row>
    <row r="398" spans="8:8">
      <c r="H398" s="44"/>
    </row>
    <row r="399" spans="8:8">
      <c r="H399" s="44"/>
    </row>
    <row r="400" spans="8:8">
      <c r="H400" s="44"/>
    </row>
    <row r="401" spans="8:8">
      <c r="H401" s="44"/>
    </row>
    <row r="402" spans="8:8">
      <c r="H402" s="44"/>
    </row>
    <row r="403" spans="8:8">
      <c r="H403" s="44"/>
    </row>
    <row r="404" spans="8:8">
      <c r="H404" s="44"/>
    </row>
    <row r="405" spans="8:8">
      <c r="H405" s="44"/>
    </row>
    <row r="406" spans="8:8">
      <c r="H406" s="44"/>
    </row>
    <row r="407" spans="8:8">
      <c r="H407" s="44"/>
    </row>
    <row r="408" spans="8:8">
      <c r="H408" s="44"/>
    </row>
    <row r="409" spans="8:8">
      <c r="H409" s="44"/>
    </row>
    <row r="410" spans="8:8">
      <c r="H410" s="44"/>
    </row>
    <row r="411" spans="8:8">
      <c r="H411" s="44"/>
    </row>
    <row r="412" spans="8:8">
      <c r="H412" s="44"/>
    </row>
    <row r="413" spans="8:8">
      <c r="H413" s="44"/>
    </row>
    <row r="414" spans="8:8">
      <c r="H414" s="44"/>
    </row>
    <row r="415" spans="8:8">
      <c r="H415" s="44"/>
    </row>
    <row r="416" spans="8:8">
      <c r="H416" s="44"/>
    </row>
    <row r="417" spans="8:8">
      <c r="H417" s="44"/>
    </row>
    <row r="418" spans="8:8">
      <c r="H418" s="44"/>
    </row>
    <row r="419" spans="8:8">
      <c r="H419" s="44"/>
    </row>
    <row r="420" spans="8:8">
      <c r="H420" s="44"/>
    </row>
    <row r="421" spans="8:8">
      <c r="H421" s="44"/>
    </row>
    <row r="422" spans="8:8">
      <c r="H422" s="44"/>
    </row>
    <row r="423" spans="8:8">
      <c r="H423" s="44"/>
    </row>
    <row r="424" spans="8:8">
      <c r="H424" s="44"/>
    </row>
    <row r="425" spans="8:8">
      <c r="H425" s="44"/>
    </row>
    <row r="426" spans="8:8">
      <c r="H426" s="44"/>
    </row>
    <row r="427" spans="8:8">
      <c r="H427" s="44"/>
    </row>
    <row r="428" spans="8:8">
      <c r="H428" s="44"/>
    </row>
    <row r="429" spans="8:8">
      <c r="H429" s="44"/>
    </row>
    <row r="430" spans="8:8">
      <c r="H430" s="44"/>
    </row>
    <row r="431" spans="8:8">
      <c r="H431" s="44"/>
    </row>
    <row r="432" spans="8:8">
      <c r="H432" s="44"/>
    </row>
    <row r="433" spans="8:8">
      <c r="H433" s="44"/>
    </row>
    <row r="434" spans="8:8">
      <c r="H434" s="44"/>
    </row>
    <row r="435" spans="8:8">
      <c r="H435" s="44"/>
    </row>
    <row r="436" spans="8:8">
      <c r="H436" s="44"/>
    </row>
    <row r="437" spans="8:8">
      <c r="H437" s="44"/>
    </row>
    <row r="438" spans="8:8">
      <c r="H438" s="44"/>
    </row>
    <row r="439" spans="8:8">
      <c r="H439" s="44"/>
    </row>
    <row r="440" spans="8:8">
      <c r="H440" s="44"/>
    </row>
    <row r="441" spans="8:8">
      <c r="H441" s="44"/>
    </row>
    <row r="442" spans="8:8">
      <c r="H442" s="44"/>
    </row>
    <row r="443" spans="8:8">
      <c r="H443" s="44"/>
    </row>
    <row r="444" spans="8:8">
      <c r="H444" s="44"/>
    </row>
    <row r="445" spans="8:8">
      <c r="H445" s="44"/>
    </row>
    <row r="446" spans="8:8">
      <c r="H446" s="44"/>
    </row>
    <row r="447" spans="8:8">
      <c r="H447" s="44"/>
    </row>
    <row r="448" spans="8:8">
      <c r="H448" s="44"/>
    </row>
    <row r="449" spans="8:8">
      <c r="H449" s="44"/>
    </row>
    <row r="450" spans="8:8">
      <c r="H450" s="44"/>
    </row>
    <row r="451" spans="8:8">
      <c r="H451" s="44"/>
    </row>
    <row r="452" spans="8:8">
      <c r="H452" s="44"/>
    </row>
    <row r="453" spans="8:8">
      <c r="H453" s="44"/>
    </row>
    <row r="454" spans="8:8">
      <c r="H454" s="44"/>
    </row>
    <row r="455" spans="8:8">
      <c r="H455" s="44"/>
    </row>
    <row r="456" spans="8:8">
      <c r="H456" s="44"/>
    </row>
    <row r="457" spans="8:8">
      <c r="H457" s="44"/>
    </row>
    <row r="458" spans="8:8">
      <c r="H458" s="44"/>
    </row>
    <row r="459" spans="8:8">
      <c r="H459" s="44"/>
    </row>
    <row r="460" spans="8:8">
      <c r="H460" s="44"/>
    </row>
    <row r="461" spans="8:8">
      <c r="H461" s="44"/>
    </row>
    <row r="462" spans="8:8">
      <c r="H462" s="44"/>
    </row>
    <row r="463" spans="8:8">
      <c r="H463" s="44"/>
    </row>
    <row r="464" spans="8:8">
      <c r="H464" s="44"/>
    </row>
    <row r="465" spans="8:8">
      <c r="H465" s="44"/>
    </row>
    <row r="466" spans="8:8">
      <c r="H466" s="44"/>
    </row>
    <row r="467" spans="8:8">
      <c r="H467" s="44"/>
    </row>
    <row r="468" spans="8:8">
      <c r="H468" s="44"/>
    </row>
    <row r="469" spans="8:8">
      <c r="H469" s="44"/>
    </row>
    <row r="470" spans="8:8">
      <c r="H470" s="44"/>
    </row>
    <row r="471" spans="8:8">
      <c r="H471" s="44"/>
    </row>
    <row r="472" spans="8:8">
      <c r="H472" s="44"/>
    </row>
    <row r="473" spans="8:8">
      <c r="H473" s="44"/>
    </row>
    <row r="474" spans="8:8">
      <c r="H474" s="44"/>
    </row>
    <row r="475" spans="8:8">
      <c r="H475" s="44"/>
    </row>
    <row r="476" spans="8:8">
      <c r="H476" s="44"/>
    </row>
    <row r="477" spans="8:8">
      <c r="H477" s="44"/>
    </row>
    <row r="478" spans="8:8">
      <c r="H478" s="44"/>
    </row>
    <row r="479" spans="8:8">
      <c r="H479" s="44"/>
    </row>
    <row r="480" spans="8:8">
      <c r="H480" s="44"/>
    </row>
    <row r="481" spans="8:8">
      <c r="H481" s="44"/>
    </row>
    <row r="482" spans="8:8">
      <c r="H482" s="44"/>
    </row>
    <row r="483" spans="8:8">
      <c r="H483" s="44"/>
    </row>
    <row r="484" spans="8:8">
      <c r="H484" s="44"/>
    </row>
    <row r="485" spans="8:8">
      <c r="H485" s="44"/>
    </row>
    <row r="486" spans="8:8">
      <c r="H486" s="44"/>
    </row>
    <row r="487" spans="8:8">
      <c r="H487" s="44"/>
    </row>
    <row r="488" spans="8:8">
      <c r="H488" s="44"/>
    </row>
    <row r="489" spans="8:8">
      <c r="H489" s="44"/>
    </row>
    <row r="490" spans="8:8">
      <c r="H490" s="44"/>
    </row>
    <row r="491" spans="8:8">
      <c r="H491" s="44"/>
    </row>
    <row r="492" spans="8:8">
      <c r="H492" s="44"/>
    </row>
    <row r="493" spans="8:8">
      <c r="H493" s="44"/>
    </row>
    <row r="494" spans="8:8">
      <c r="H494" s="44"/>
    </row>
    <row r="495" spans="8:8">
      <c r="H495" s="44"/>
    </row>
    <row r="496" spans="8:8">
      <c r="H496" s="44"/>
    </row>
    <row r="497" spans="8:8">
      <c r="H497" s="44"/>
    </row>
    <row r="498" spans="8:8">
      <c r="H498" s="44"/>
    </row>
    <row r="499" spans="8:8">
      <c r="H499" s="44"/>
    </row>
    <row r="500" spans="8:8">
      <c r="H500" s="44"/>
    </row>
    <row r="501" spans="8:8">
      <c r="H501" s="44"/>
    </row>
    <row r="502" spans="8:8">
      <c r="H502" s="44"/>
    </row>
    <row r="503" spans="8:8">
      <c r="H503" s="44"/>
    </row>
    <row r="504" spans="8:8">
      <c r="H504" s="44"/>
    </row>
    <row r="505" spans="8:8">
      <c r="H505" s="44"/>
    </row>
    <row r="506" spans="8:8">
      <c r="H506" s="44"/>
    </row>
    <row r="507" spans="8:8">
      <c r="H507" s="44"/>
    </row>
    <row r="508" spans="8:8">
      <c r="H508" s="44"/>
    </row>
    <row r="509" spans="8:8">
      <c r="H509" s="44"/>
    </row>
    <row r="510" spans="8:8">
      <c r="H510" s="44"/>
    </row>
    <row r="511" spans="8:8">
      <c r="H511" s="44"/>
    </row>
    <row r="512" spans="8:8">
      <c r="H512" s="44"/>
    </row>
    <row r="513" spans="8:8">
      <c r="H513" s="44"/>
    </row>
    <row r="514" spans="8:8">
      <c r="H514" s="44"/>
    </row>
    <row r="515" spans="8:8">
      <c r="H515" s="44"/>
    </row>
    <row r="516" spans="8:8">
      <c r="H516" s="44"/>
    </row>
    <row r="517" spans="8:8">
      <c r="H517" s="44"/>
    </row>
    <row r="518" spans="8:8">
      <c r="H518" s="44"/>
    </row>
    <row r="519" spans="8:8">
      <c r="H519" s="44"/>
    </row>
    <row r="520" spans="8:8">
      <c r="H520" s="44"/>
    </row>
    <row r="521" spans="8:8">
      <c r="H521" s="44"/>
    </row>
    <row r="522" spans="8:8">
      <c r="H522" s="44"/>
    </row>
    <row r="523" spans="8:8">
      <c r="H523" s="44"/>
    </row>
    <row r="524" spans="8:8">
      <c r="H524" s="44"/>
    </row>
    <row r="525" spans="8:8">
      <c r="H525" s="44"/>
    </row>
    <row r="526" spans="8:8">
      <c r="H526" s="44"/>
    </row>
    <row r="527" spans="8:8">
      <c r="H527" s="44"/>
    </row>
    <row r="528" spans="8:8">
      <c r="H528" s="44"/>
    </row>
    <row r="529" spans="8:8">
      <c r="H529" s="44"/>
    </row>
    <row r="530" spans="8:8">
      <c r="H530" s="44"/>
    </row>
    <row r="531" spans="8:8">
      <c r="H531" s="44"/>
    </row>
    <row r="532" spans="8:8">
      <c r="H532" s="44"/>
    </row>
    <row r="533" spans="8:8">
      <c r="H533" s="44"/>
    </row>
    <row r="534" spans="8:8">
      <c r="H534" s="44"/>
    </row>
    <row r="535" spans="8:8">
      <c r="H535" s="44"/>
    </row>
    <row r="536" spans="8:8">
      <c r="H536" s="44"/>
    </row>
    <row r="537" spans="8:8">
      <c r="H537" s="44"/>
    </row>
    <row r="538" spans="8:8">
      <c r="H538" s="44"/>
    </row>
    <row r="539" spans="8:8">
      <c r="H539" s="44"/>
    </row>
    <row r="540" spans="8:8">
      <c r="H540" s="44"/>
    </row>
    <row r="541" spans="8:8">
      <c r="H541" s="44"/>
    </row>
    <row r="542" spans="8:8">
      <c r="H542" s="44"/>
    </row>
    <row r="543" spans="8:8">
      <c r="H543" s="44"/>
    </row>
    <row r="544" spans="8:8">
      <c r="H544" s="44"/>
    </row>
    <row r="545" spans="8:8">
      <c r="H545" s="44"/>
    </row>
    <row r="546" spans="8:8">
      <c r="H546" s="44"/>
    </row>
    <row r="547" spans="8:8">
      <c r="H547" s="44"/>
    </row>
    <row r="548" spans="8:8">
      <c r="H548" s="44"/>
    </row>
    <row r="549" spans="8:8">
      <c r="H549" s="44"/>
    </row>
    <row r="550" spans="8:8">
      <c r="H550" s="44"/>
    </row>
    <row r="551" spans="8:8">
      <c r="H551" s="44"/>
    </row>
    <row r="552" spans="8:8">
      <c r="H552" s="44"/>
    </row>
    <row r="553" spans="8:8">
      <c r="H553" s="44"/>
    </row>
    <row r="554" spans="8:8">
      <c r="H554" s="44"/>
    </row>
    <row r="555" spans="8:8">
      <c r="H555" s="44"/>
    </row>
    <row r="556" spans="8:8">
      <c r="H556" s="44"/>
    </row>
    <row r="557" spans="8:8">
      <c r="H557" s="44"/>
    </row>
    <row r="558" spans="8:8">
      <c r="H558" s="44"/>
    </row>
    <row r="559" spans="8:8">
      <c r="H559" s="44"/>
    </row>
    <row r="560" spans="8:8">
      <c r="H560" s="44"/>
    </row>
    <row r="561" spans="8:8">
      <c r="H561" s="44"/>
    </row>
    <row r="562" spans="8:8">
      <c r="H562" s="44"/>
    </row>
    <row r="563" spans="8:8">
      <c r="H563" s="44"/>
    </row>
    <row r="564" spans="8:8">
      <c r="H564" s="44"/>
    </row>
    <row r="565" spans="8:8">
      <c r="H565" s="44"/>
    </row>
    <row r="566" spans="8:8">
      <c r="H566" s="44"/>
    </row>
    <row r="567" spans="8:8">
      <c r="H567" s="44"/>
    </row>
    <row r="568" spans="8:8">
      <c r="H568" s="44"/>
    </row>
    <row r="569" spans="8:8">
      <c r="H569" s="44"/>
    </row>
    <row r="570" spans="8:8">
      <c r="H570" s="44"/>
    </row>
    <row r="571" spans="8:8">
      <c r="H571" s="44"/>
    </row>
    <row r="572" spans="8:8">
      <c r="H572" s="44"/>
    </row>
    <row r="573" spans="8:8">
      <c r="H573" s="44"/>
    </row>
    <row r="574" spans="8:8">
      <c r="H574" s="44"/>
    </row>
    <row r="575" spans="8:8">
      <c r="H575" s="44"/>
    </row>
    <row r="576" spans="8:8">
      <c r="H576" s="44"/>
    </row>
    <row r="577" spans="8:8">
      <c r="H577" s="44"/>
    </row>
    <row r="578" spans="8:8">
      <c r="H578" s="44"/>
    </row>
    <row r="579" spans="8:8">
      <c r="H579" s="44"/>
    </row>
    <row r="580" spans="8:8">
      <c r="H580" s="44"/>
    </row>
    <row r="581" spans="8:8">
      <c r="H581" s="44"/>
    </row>
    <row r="582" spans="8:8">
      <c r="H582" s="44"/>
    </row>
    <row r="583" spans="8:8">
      <c r="H583" s="44"/>
    </row>
    <row r="584" spans="8:8">
      <c r="H584" s="44"/>
    </row>
    <row r="585" spans="8:8">
      <c r="H585" s="44"/>
    </row>
    <row r="586" spans="8:8">
      <c r="H586" s="44"/>
    </row>
    <row r="587" spans="8:8">
      <c r="H587" s="44"/>
    </row>
    <row r="588" spans="8:8">
      <c r="H588" s="44"/>
    </row>
    <row r="589" spans="8:8">
      <c r="H589" s="44"/>
    </row>
    <row r="590" spans="8:8">
      <c r="H590" s="44"/>
    </row>
    <row r="591" spans="8:8">
      <c r="H591" s="44"/>
    </row>
    <row r="592" spans="8:8">
      <c r="H592" s="44"/>
    </row>
    <row r="593" spans="8:8">
      <c r="H593" s="44"/>
    </row>
    <row r="594" spans="8:8">
      <c r="H594" s="44"/>
    </row>
    <row r="595" spans="8:8">
      <c r="H595" s="44"/>
    </row>
    <row r="596" spans="8:8">
      <c r="H596" s="44"/>
    </row>
    <row r="597" spans="8:8">
      <c r="H597" s="44"/>
    </row>
    <row r="598" spans="8:8">
      <c r="H598" s="44"/>
    </row>
    <row r="599" spans="8:8">
      <c r="H599" s="44"/>
    </row>
    <row r="600" spans="8:8">
      <c r="H600" s="44"/>
    </row>
    <row r="601" spans="8:8">
      <c r="H601" s="44"/>
    </row>
    <row r="602" spans="8:8">
      <c r="H602" s="44"/>
    </row>
    <row r="603" spans="8:8">
      <c r="H603" s="44"/>
    </row>
    <row r="604" spans="8:8">
      <c r="H604" s="44"/>
    </row>
    <row r="605" spans="8:8">
      <c r="H605" s="44"/>
    </row>
    <row r="606" spans="8:8">
      <c r="H606" s="44"/>
    </row>
    <row r="607" spans="8:8">
      <c r="H607" s="44"/>
    </row>
    <row r="608" spans="8:8">
      <c r="H608" s="44"/>
    </row>
    <row r="609" spans="8:8">
      <c r="H609" s="44"/>
    </row>
    <row r="610" spans="8:8">
      <c r="H610" s="44"/>
    </row>
    <row r="611" spans="8:8">
      <c r="H611" s="44"/>
    </row>
    <row r="612" spans="8:8">
      <c r="H612" s="44"/>
    </row>
    <row r="613" spans="8:8">
      <c r="H613" s="44"/>
    </row>
    <row r="614" spans="8:8">
      <c r="H614" s="44"/>
    </row>
    <row r="615" spans="8:8">
      <c r="H615" s="44"/>
    </row>
    <row r="616" spans="8:8">
      <c r="H616" s="44"/>
    </row>
    <row r="617" spans="8:8">
      <c r="H617" s="44"/>
    </row>
    <row r="618" spans="8:8">
      <c r="H618" s="44"/>
    </row>
    <row r="619" spans="8:8">
      <c r="H619" s="44"/>
    </row>
    <row r="620" spans="8:8">
      <c r="H620" s="44"/>
    </row>
    <row r="621" spans="8:8">
      <c r="H621" s="44"/>
    </row>
    <row r="622" spans="8:8">
      <c r="H622" s="44"/>
    </row>
    <row r="623" spans="8:8">
      <c r="H623" s="44"/>
    </row>
    <row r="624" spans="8:8">
      <c r="H624" s="44"/>
    </row>
    <row r="625" spans="8:8">
      <c r="H625" s="44"/>
    </row>
    <row r="626" spans="8:8">
      <c r="H626" s="44"/>
    </row>
    <row r="627" spans="8:8">
      <c r="H627" s="44"/>
    </row>
    <row r="628" spans="8:8">
      <c r="H628" s="44"/>
    </row>
    <row r="629" spans="8:8">
      <c r="H629" s="44"/>
    </row>
    <row r="630" spans="8:8">
      <c r="H630" s="44"/>
    </row>
    <row r="631" spans="8:8">
      <c r="H631" s="44"/>
    </row>
    <row r="632" spans="8:8">
      <c r="H632" s="44"/>
    </row>
    <row r="633" spans="8:8">
      <c r="H633" s="44"/>
    </row>
    <row r="634" spans="8:8">
      <c r="H634" s="44"/>
    </row>
    <row r="635" spans="8:8">
      <c r="H635" s="44"/>
    </row>
    <row r="636" spans="8:8">
      <c r="H636" s="44"/>
    </row>
    <row r="637" spans="8:8">
      <c r="H637" s="44"/>
    </row>
    <row r="638" spans="8:8">
      <c r="H638" s="44"/>
    </row>
    <row r="639" spans="8:8">
      <c r="H639" s="44"/>
    </row>
    <row r="640" spans="8:8">
      <c r="H640" s="44"/>
    </row>
    <row r="641" spans="8:8">
      <c r="H641" s="44"/>
    </row>
    <row r="642" spans="8:8">
      <c r="H642" s="44"/>
    </row>
    <row r="643" spans="8:8">
      <c r="H643" s="44"/>
    </row>
    <row r="644" spans="8:8">
      <c r="H644" s="44"/>
    </row>
    <row r="645" spans="8:8">
      <c r="H645" s="44"/>
    </row>
    <row r="646" spans="8:8">
      <c r="H646" s="44"/>
    </row>
    <row r="647" spans="8:8">
      <c r="H647" s="44"/>
    </row>
    <row r="648" spans="8:8">
      <c r="H648" s="44"/>
    </row>
    <row r="649" spans="8:8">
      <c r="H649" s="44"/>
    </row>
    <row r="650" spans="8:8">
      <c r="H650" s="44"/>
    </row>
    <row r="651" spans="8:8">
      <c r="H651" s="44"/>
    </row>
    <row r="652" spans="8:8">
      <c r="H652" s="44"/>
    </row>
    <row r="653" spans="8:8">
      <c r="H653" s="44"/>
    </row>
    <row r="654" spans="8:8">
      <c r="H654" s="44"/>
    </row>
    <row r="655" spans="8:8">
      <c r="H655" s="44"/>
    </row>
    <row r="656" spans="8:8">
      <c r="H656" s="44"/>
    </row>
    <row r="657" spans="8:8">
      <c r="H657" s="44"/>
    </row>
    <row r="658" spans="8:8">
      <c r="H658" s="44"/>
    </row>
    <row r="659" spans="8:8">
      <c r="H659" s="44"/>
    </row>
    <row r="660" spans="8:8">
      <c r="H660" s="44"/>
    </row>
    <row r="661" spans="8:8">
      <c r="H661" s="44"/>
    </row>
    <row r="662" spans="8:8">
      <c r="H662" s="44"/>
    </row>
    <row r="663" spans="8:8">
      <c r="H663" s="44"/>
    </row>
    <row r="664" spans="8:8">
      <c r="H664" s="44"/>
    </row>
    <row r="665" spans="8:8">
      <c r="H665" s="44"/>
    </row>
    <row r="666" spans="8:8">
      <c r="H666" s="44"/>
    </row>
    <row r="667" spans="8:8">
      <c r="H667" s="44"/>
    </row>
    <row r="668" spans="8:8">
      <c r="H668" s="44"/>
    </row>
    <row r="669" spans="8:8">
      <c r="H669" s="44"/>
    </row>
    <row r="670" spans="8:8">
      <c r="H670" s="44"/>
    </row>
    <row r="671" spans="8:8">
      <c r="H671" s="44"/>
    </row>
    <row r="672" spans="8:8">
      <c r="H672" s="44"/>
    </row>
    <row r="673" spans="8:8">
      <c r="H673" s="44"/>
    </row>
    <row r="674" spans="8:8">
      <c r="H674" s="44"/>
    </row>
    <row r="675" spans="8:8">
      <c r="H675" s="44"/>
    </row>
    <row r="676" spans="8:8">
      <c r="H676" s="44"/>
    </row>
    <row r="677" spans="8:8">
      <c r="H677" s="44"/>
    </row>
    <row r="678" spans="8:8">
      <c r="H678" s="44"/>
    </row>
    <row r="679" spans="8:8">
      <c r="H679" s="44"/>
    </row>
    <row r="680" spans="8:8">
      <c r="H680" s="44"/>
    </row>
    <row r="681" spans="8:8">
      <c r="H681" s="44"/>
    </row>
    <row r="682" spans="8:8">
      <c r="H682" s="44"/>
    </row>
    <row r="683" spans="8:8">
      <c r="H683" s="44"/>
    </row>
    <row r="684" spans="8:8">
      <c r="H684" s="44"/>
    </row>
    <row r="685" spans="8:8">
      <c r="H685" s="44"/>
    </row>
    <row r="686" spans="8:8">
      <c r="H686" s="44"/>
    </row>
    <row r="687" spans="8:8">
      <c r="H687" s="44"/>
    </row>
    <row r="688" spans="8:8">
      <c r="H688" s="44"/>
    </row>
    <row r="689" spans="8:8">
      <c r="H689" s="44"/>
    </row>
    <row r="690" spans="8:8">
      <c r="H690" s="44"/>
    </row>
    <row r="691" spans="8:8">
      <c r="H691" s="44"/>
    </row>
    <row r="692" spans="8:8">
      <c r="H692" s="44"/>
    </row>
    <row r="693" spans="8:8">
      <c r="H693" s="44"/>
    </row>
    <row r="694" spans="8:8">
      <c r="H694" s="44"/>
    </row>
    <row r="695" spans="8:8">
      <c r="H695" s="44"/>
    </row>
    <row r="696" spans="8:8">
      <c r="H696" s="44"/>
    </row>
    <row r="697" spans="8:8">
      <c r="H697" s="44"/>
    </row>
    <row r="698" spans="8:8">
      <c r="H698" s="44"/>
    </row>
    <row r="699" spans="8:8">
      <c r="H699" s="44"/>
    </row>
    <row r="700" spans="8:8">
      <c r="H700" s="44"/>
    </row>
    <row r="701" spans="8:8">
      <c r="H701" s="44"/>
    </row>
    <row r="702" spans="8:8">
      <c r="H702" s="44"/>
    </row>
    <row r="703" spans="8:8">
      <c r="H703" s="44"/>
    </row>
    <row r="704" spans="8:8">
      <c r="H704" s="44"/>
    </row>
    <row r="705" spans="8:8">
      <c r="H705" s="44"/>
    </row>
    <row r="706" spans="8:8">
      <c r="H706" s="44"/>
    </row>
    <row r="707" spans="8:8">
      <c r="H707" s="44"/>
    </row>
    <row r="708" spans="8:8">
      <c r="H708" s="44"/>
    </row>
    <row r="709" spans="8:8">
      <c r="H709" s="44"/>
    </row>
    <row r="710" spans="8:8">
      <c r="H710" s="44"/>
    </row>
    <row r="711" spans="8:8">
      <c r="H711" s="44"/>
    </row>
    <row r="712" spans="8:8">
      <c r="H712" s="44"/>
    </row>
    <row r="713" spans="8:8">
      <c r="H713" s="44"/>
    </row>
    <row r="714" spans="8:8">
      <c r="H714" s="44"/>
    </row>
    <row r="715" spans="8:8">
      <c r="H715" s="44"/>
    </row>
    <row r="716" spans="8:8">
      <c r="H716" s="44"/>
    </row>
    <row r="717" spans="8:8">
      <c r="H717" s="44"/>
    </row>
    <row r="718" spans="8:8">
      <c r="H718" s="44"/>
    </row>
    <row r="719" spans="8:8">
      <c r="H719" s="44"/>
    </row>
    <row r="720" spans="8:8">
      <c r="H720" s="44"/>
    </row>
    <row r="721" spans="8:8">
      <c r="H721" s="44"/>
    </row>
    <row r="722" spans="8:8">
      <c r="H722" s="44"/>
    </row>
    <row r="723" spans="8:8">
      <c r="H723" s="44"/>
    </row>
    <row r="724" spans="8:8">
      <c r="H724" s="44"/>
    </row>
    <row r="725" spans="8:8">
      <c r="H725" s="44"/>
    </row>
    <row r="726" spans="8:8">
      <c r="H726" s="44"/>
    </row>
    <row r="727" spans="8:8">
      <c r="H727" s="44"/>
    </row>
    <row r="728" spans="8:8">
      <c r="H728" s="44"/>
    </row>
    <row r="729" spans="8:8">
      <c r="H729" s="44"/>
    </row>
    <row r="730" spans="8:8">
      <c r="H730" s="44"/>
    </row>
    <row r="731" spans="8:8">
      <c r="H731" s="44"/>
    </row>
    <row r="732" spans="8:8">
      <c r="H732" s="44"/>
    </row>
    <row r="733" spans="8:8">
      <c r="H733" s="44"/>
    </row>
    <row r="734" spans="8:8">
      <c r="H734" s="44"/>
    </row>
    <row r="735" spans="8:8">
      <c r="H735" s="44"/>
    </row>
    <row r="736" spans="8:8">
      <c r="H736" s="44"/>
    </row>
    <row r="737" spans="8:8">
      <c r="H737" s="44"/>
    </row>
    <row r="738" spans="8:8">
      <c r="H738" s="44"/>
    </row>
    <row r="739" spans="8:8">
      <c r="H739" s="44"/>
    </row>
    <row r="740" spans="8:8">
      <c r="H740" s="44"/>
    </row>
    <row r="741" spans="8:8">
      <c r="H741" s="44"/>
    </row>
    <row r="742" spans="8:8">
      <c r="H742" s="44"/>
    </row>
    <row r="743" spans="8:8">
      <c r="H743" s="44"/>
    </row>
    <row r="744" spans="8:8">
      <c r="H744" s="44"/>
    </row>
    <row r="745" spans="8:8">
      <c r="H745" s="44"/>
    </row>
    <row r="746" spans="8:8">
      <c r="H746" s="44"/>
    </row>
    <row r="747" spans="8:8">
      <c r="H747" s="44"/>
    </row>
    <row r="748" spans="8:8">
      <c r="H748" s="44"/>
    </row>
    <row r="749" spans="8:8">
      <c r="H749" s="44"/>
    </row>
    <row r="750" spans="8:8">
      <c r="H750" s="44"/>
    </row>
    <row r="751" spans="8:8">
      <c r="H751" s="44"/>
    </row>
    <row r="752" spans="8:8">
      <c r="H752" s="44"/>
    </row>
    <row r="753" spans="8:8">
      <c r="H753" s="44"/>
    </row>
    <row r="754" spans="8:8">
      <c r="H754" s="44"/>
    </row>
    <row r="755" spans="8:8">
      <c r="H755" s="44"/>
    </row>
    <row r="756" spans="8:8">
      <c r="H756" s="44"/>
    </row>
    <row r="757" spans="8:8">
      <c r="H757" s="44"/>
    </row>
    <row r="758" spans="8:8">
      <c r="H758" s="44"/>
    </row>
    <row r="759" spans="8:8">
      <c r="H759" s="44"/>
    </row>
    <row r="760" spans="8:8">
      <c r="H760" s="44"/>
    </row>
    <row r="761" spans="8:8">
      <c r="H761" s="44"/>
    </row>
    <row r="762" spans="8:8">
      <c r="H762" s="44"/>
    </row>
    <row r="763" spans="8:8">
      <c r="H763" s="44"/>
    </row>
    <row r="764" spans="8:8">
      <c r="H764" s="44"/>
    </row>
    <row r="765" spans="8:8">
      <c r="H765" s="44"/>
    </row>
    <row r="766" spans="8:8">
      <c r="H766" s="44"/>
    </row>
    <row r="767" spans="8:8">
      <c r="H767" s="44"/>
    </row>
    <row r="768" spans="8:8">
      <c r="H768" s="44"/>
    </row>
    <row r="769" spans="8:8">
      <c r="H769" s="44"/>
    </row>
    <row r="770" spans="8:8">
      <c r="H770" s="44"/>
    </row>
    <row r="771" spans="8:8">
      <c r="H771" s="44"/>
    </row>
    <row r="772" spans="8:8">
      <c r="H772" s="44"/>
    </row>
    <row r="773" spans="8:8">
      <c r="H773" s="44"/>
    </row>
    <row r="774" spans="8:8">
      <c r="H774" s="44"/>
    </row>
    <row r="775" spans="8:8">
      <c r="H775" s="44"/>
    </row>
    <row r="776" spans="8:8">
      <c r="H776" s="44"/>
    </row>
    <row r="777" spans="8:8">
      <c r="H777" s="44"/>
    </row>
    <row r="778" spans="8:8">
      <c r="H778" s="44"/>
    </row>
    <row r="779" spans="8:8">
      <c r="H779" s="44"/>
    </row>
    <row r="780" spans="8:8">
      <c r="H780" s="44"/>
    </row>
    <row r="781" spans="8:8">
      <c r="H781" s="44"/>
    </row>
    <row r="782" spans="8:8">
      <c r="H782" s="44"/>
    </row>
    <row r="783" spans="8:8">
      <c r="H783" s="44"/>
    </row>
    <row r="784" spans="8:8">
      <c r="H784" s="44"/>
    </row>
    <row r="785" spans="8:8">
      <c r="H785" s="44"/>
    </row>
    <row r="786" spans="8:8">
      <c r="H786" s="44"/>
    </row>
    <row r="787" spans="8:8">
      <c r="H787" s="44"/>
    </row>
    <row r="788" spans="8:8">
      <c r="H788" s="44"/>
    </row>
    <row r="789" spans="8:8">
      <c r="H789" s="44"/>
    </row>
    <row r="790" spans="8:8">
      <c r="H790" s="44"/>
    </row>
    <row r="791" spans="8:8">
      <c r="H791" s="44"/>
    </row>
    <row r="792" spans="8:8">
      <c r="H792" s="44"/>
    </row>
    <row r="793" spans="8:8">
      <c r="H793" s="44"/>
    </row>
    <row r="794" spans="8:8">
      <c r="H794" s="44"/>
    </row>
    <row r="795" spans="8:8">
      <c r="H795" s="44"/>
    </row>
    <row r="796" spans="8:8">
      <c r="H796" s="44"/>
    </row>
    <row r="797" spans="8:8">
      <c r="H797" s="44"/>
    </row>
    <row r="798" spans="8:8">
      <c r="H798" s="44"/>
    </row>
    <row r="799" spans="8:8">
      <c r="H799" s="44"/>
    </row>
    <row r="800" spans="8:8">
      <c r="H800" s="44"/>
    </row>
    <row r="801" spans="8:8">
      <c r="H801" s="44"/>
    </row>
    <row r="802" spans="8:8">
      <c r="H802" s="44"/>
    </row>
    <row r="803" spans="8:8">
      <c r="H803" s="44"/>
    </row>
    <row r="804" spans="8:8">
      <c r="H804" s="44"/>
    </row>
    <row r="805" spans="8:8">
      <c r="H805" s="44"/>
    </row>
    <row r="806" spans="8:8">
      <c r="H806" s="44"/>
    </row>
    <row r="807" spans="8:8">
      <c r="H807" s="44"/>
    </row>
    <row r="808" spans="8:8">
      <c r="H808" s="44"/>
    </row>
    <row r="809" spans="8:8">
      <c r="H809" s="44"/>
    </row>
    <row r="810" spans="8:8">
      <c r="H810" s="44"/>
    </row>
    <row r="811" spans="8:8">
      <c r="H811" s="44"/>
    </row>
    <row r="812" spans="8:8">
      <c r="H812" s="44"/>
    </row>
    <row r="813" spans="8:8">
      <c r="H813" s="44"/>
    </row>
    <row r="814" spans="8:8">
      <c r="H814" s="44"/>
    </row>
    <row r="815" spans="8:8">
      <c r="H815" s="44"/>
    </row>
    <row r="816" spans="8:8">
      <c r="H816" s="44"/>
    </row>
    <row r="817" spans="8:8">
      <c r="H817" s="44"/>
    </row>
    <row r="818" spans="8:8">
      <c r="H818" s="44"/>
    </row>
    <row r="819" spans="8:8">
      <c r="H819" s="44"/>
    </row>
    <row r="820" spans="8:8">
      <c r="H820" s="44"/>
    </row>
    <row r="821" spans="8:8">
      <c r="H821" s="44"/>
    </row>
    <row r="822" spans="8:8">
      <c r="H822" s="44"/>
    </row>
    <row r="823" spans="8:8">
      <c r="H823" s="44"/>
    </row>
    <row r="824" spans="8:8">
      <c r="H824" s="44"/>
    </row>
    <row r="825" spans="8:8">
      <c r="H825" s="44"/>
    </row>
    <row r="826" spans="8:8">
      <c r="H826" s="44"/>
    </row>
    <row r="827" spans="8:8">
      <c r="H827" s="44"/>
    </row>
    <row r="828" spans="8:8">
      <c r="H828" s="44"/>
    </row>
    <row r="829" spans="8:8">
      <c r="H829" s="44"/>
    </row>
    <row r="830" spans="8:8">
      <c r="H830" s="44"/>
    </row>
    <row r="831" spans="8:8">
      <c r="H831" s="44"/>
    </row>
    <row r="832" spans="8:8">
      <c r="H832" s="44"/>
    </row>
    <row r="833" spans="8:8">
      <c r="H833" s="44"/>
    </row>
    <row r="834" spans="8:8">
      <c r="H834" s="44"/>
    </row>
    <row r="835" spans="8:8">
      <c r="H835" s="44"/>
    </row>
    <row r="836" spans="8:8">
      <c r="H836" s="44"/>
    </row>
    <row r="837" spans="8:8">
      <c r="H837" s="44"/>
    </row>
    <row r="838" spans="8:8">
      <c r="H838" s="44"/>
    </row>
    <row r="839" spans="8:8">
      <c r="H839" s="44"/>
    </row>
    <row r="840" spans="8:8">
      <c r="H840" s="44"/>
    </row>
    <row r="841" spans="8:8">
      <c r="H841" s="44"/>
    </row>
    <row r="842" spans="8:8">
      <c r="H842" s="44"/>
    </row>
    <row r="843" spans="8:8">
      <c r="H843" s="44"/>
    </row>
    <row r="844" spans="8:8">
      <c r="H844" s="44"/>
    </row>
    <row r="845" spans="8:8">
      <c r="H845" s="44"/>
    </row>
    <row r="846" spans="8:8">
      <c r="H846" s="44"/>
    </row>
    <row r="847" spans="8:8">
      <c r="H847" s="44"/>
    </row>
    <row r="848" spans="8:8">
      <c r="H848" s="44"/>
    </row>
    <row r="849" spans="8:8">
      <c r="H849" s="44"/>
    </row>
    <row r="850" spans="8:8">
      <c r="H850" s="44"/>
    </row>
    <row r="851" spans="8:8">
      <c r="H851" s="44"/>
    </row>
    <row r="852" spans="8:8">
      <c r="H852" s="44"/>
    </row>
    <row r="853" spans="8:8">
      <c r="H853" s="44"/>
    </row>
    <row r="854" spans="8:8">
      <c r="H854" s="44"/>
    </row>
    <row r="855" spans="8:8">
      <c r="H855" s="44"/>
    </row>
    <row r="856" spans="8:8">
      <c r="H856" s="44"/>
    </row>
    <row r="857" spans="8:8">
      <c r="H857" s="44"/>
    </row>
    <row r="858" spans="8:8">
      <c r="H858" s="44"/>
    </row>
    <row r="859" spans="8:8">
      <c r="H859" s="44"/>
    </row>
    <row r="860" spans="8:8">
      <c r="H860" s="44"/>
    </row>
    <row r="861" spans="8:8">
      <c r="H861" s="44"/>
    </row>
    <row r="862" spans="8:8">
      <c r="H862" s="44"/>
    </row>
    <row r="863" spans="8:8">
      <c r="H863" s="44"/>
    </row>
    <row r="864" spans="8:8">
      <c r="H864" s="44"/>
    </row>
    <row r="865" spans="8:8">
      <c r="H865" s="44"/>
    </row>
    <row r="866" spans="8:8">
      <c r="H866" s="44"/>
    </row>
    <row r="867" spans="8:8">
      <c r="H867" s="44"/>
    </row>
    <row r="868" spans="8:8">
      <c r="H868" s="44"/>
    </row>
    <row r="869" spans="8:8">
      <c r="H869" s="44"/>
    </row>
    <row r="870" spans="8:8">
      <c r="H870" s="44"/>
    </row>
    <row r="871" spans="8:8">
      <c r="H871" s="44"/>
    </row>
    <row r="872" spans="8:8">
      <c r="H872" s="44"/>
    </row>
    <row r="873" spans="8:8">
      <c r="H873" s="44"/>
    </row>
    <row r="874" spans="8:8">
      <c r="H874" s="44"/>
    </row>
    <row r="875" spans="8:8">
      <c r="H875" s="44"/>
    </row>
    <row r="876" spans="8:8">
      <c r="H876" s="44"/>
    </row>
    <row r="877" spans="8:8">
      <c r="H877" s="44"/>
    </row>
    <row r="878" spans="8:8">
      <c r="H878" s="44"/>
    </row>
    <row r="879" spans="8:8">
      <c r="H879" s="44"/>
    </row>
    <row r="880" spans="8:8">
      <c r="H880" s="44"/>
    </row>
    <row r="881" spans="8:8">
      <c r="H881" s="44"/>
    </row>
    <row r="882" spans="8:8">
      <c r="H882" s="44"/>
    </row>
    <row r="883" spans="8:8">
      <c r="H883" s="44"/>
    </row>
    <row r="884" spans="8:8">
      <c r="H884" s="44"/>
    </row>
    <row r="885" spans="8:8">
      <c r="H885" s="44"/>
    </row>
    <row r="886" spans="8:8">
      <c r="H886" s="44"/>
    </row>
    <row r="887" spans="8:8">
      <c r="H887" s="44"/>
    </row>
    <row r="888" spans="8:8">
      <c r="H888" s="44"/>
    </row>
    <row r="889" spans="8:8">
      <c r="H889" s="44"/>
    </row>
    <row r="890" spans="8:8">
      <c r="H890" s="44"/>
    </row>
    <row r="891" spans="8:8">
      <c r="H891" s="44"/>
    </row>
    <row r="892" spans="8:8">
      <c r="H892" s="44"/>
    </row>
    <row r="893" spans="8:8">
      <c r="H893" s="44"/>
    </row>
    <row r="894" spans="8:8">
      <c r="H894" s="44"/>
    </row>
    <row r="895" spans="8:8">
      <c r="H895" s="44"/>
    </row>
    <row r="896" spans="8:8">
      <c r="H896" s="44"/>
    </row>
    <row r="897" spans="8:8">
      <c r="H897" s="44"/>
    </row>
    <row r="898" spans="8:8">
      <c r="H898" s="44"/>
    </row>
    <row r="899" spans="8:8">
      <c r="H899" s="44"/>
    </row>
    <row r="900" spans="8:8">
      <c r="H900" s="44"/>
    </row>
    <row r="901" spans="8:8">
      <c r="H901" s="44"/>
    </row>
    <row r="902" spans="8:8">
      <c r="H902" s="44"/>
    </row>
    <row r="903" spans="8:8">
      <c r="H903" s="44"/>
    </row>
    <row r="904" spans="8:8">
      <c r="H904" s="44"/>
    </row>
    <row r="905" spans="8:8">
      <c r="H905" s="44"/>
    </row>
    <row r="906" spans="8:8">
      <c r="H906" s="44"/>
    </row>
    <row r="907" spans="8:8">
      <c r="H907" s="44"/>
    </row>
    <row r="908" spans="8:8">
      <c r="H908" s="44"/>
    </row>
    <row r="909" spans="8:8">
      <c r="H909" s="44"/>
    </row>
    <row r="910" spans="8:8">
      <c r="H910" s="44"/>
    </row>
    <row r="911" spans="8:8">
      <c r="H911" s="44"/>
    </row>
    <row r="912" spans="8:8">
      <c r="H912" s="44"/>
    </row>
    <row r="913" spans="8:8">
      <c r="H913" s="44"/>
    </row>
    <row r="914" spans="8:8">
      <c r="H914" s="44"/>
    </row>
    <row r="915" spans="8:8">
      <c r="H915" s="44"/>
    </row>
    <row r="916" spans="8:8">
      <c r="H916" s="44"/>
    </row>
    <row r="917" spans="8:8">
      <c r="H917" s="44"/>
    </row>
    <row r="918" spans="8:8">
      <c r="H918" s="44"/>
    </row>
    <row r="919" spans="8:8">
      <c r="H919" s="44"/>
    </row>
    <row r="920" spans="8:8">
      <c r="H920" s="44"/>
    </row>
    <row r="921" spans="8:8">
      <c r="H921" s="44"/>
    </row>
    <row r="922" spans="8:8">
      <c r="H922" s="44"/>
    </row>
    <row r="923" spans="8:8">
      <c r="H923" s="44"/>
    </row>
    <row r="924" spans="8:8">
      <c r="H924" s="44"/>
    </row>
    <row r="925" spans="8:8">
      <c r="H925" s="44"/>
    </row>
    <row r="926" spans="8:8">
      <c r="H926" s="44"/>
    </row>
    <row r="927" spans="8:8">
      <c r="H927" s="44"/>
    </row>
    <row r="928" spans="8:8">
      <c r="H928" s="44"/>
    </row>
    <row r="929" spans="8:8">
      <c r="H929" s="44"/>
    </row>
    <row r="930" spans="8:8">
      <c r="H930" s="44"/>
    </row>
    <row r="931" spans="8:8">
      <c r="H931" s="44"/>
    </row>
    <row r="932" spans="8:8">
      <c r="H932" s="44"/>
    </row>
    <row r="933" spans="8:8">
      <c r="H933" s="44"/>
    </row>
    <row r="934" spans="8:8">
      <c r="H934" s="44"/>
    </row>
    <row r="935" spans="8:8">
      <c r="H935" s="44"/>
    </row>
    <row r="936" spans="8:8">
      <c r="H936" s="44"/>
    </row>
    <row r="937" spans="8:8">
      <c r="H937" s="44"/>
    </row>
    <row r="938" spans="8:8">
      <c r="H938" s="44"/>
    </row>
    <row r="939" spans="8:8">
      <c r="H939" s="44"/>
    </row>
    <row r="940" spans="8:8">
      <c r="H940" s="44"/>
    </row>
    <row r="941" spans="8:8">
      <c r="H941" s="44"/>
    </row>
    <row r="942" spans="8:8">
      <c r="H942" s="44"/>
    </row>
    <row r="943" spans="8:8">
      <c r="H943" s="44"/>
    </row>
    <row r="944" spans="8:8">
      <c r="H944" s="44"/>
    </row>
    <row r="945" spans="8:8">
      <c r="H945" s="44"/>
    </row>
    <row r="946" spans="8:8">
      <c r="H946" s="44"/>
    </row>
    <row r="947" spans="8:8">
      <c r="H947" s="44"/>
    </row>
    <row r="948" spans="8:8">
      <c r="H948" s="44"/>
    </row>
    <row r="949" spans="8:8">
      <c r="H949" s="44"/>
    </row>
    <row r="950" spans="8:8">
      <c r="H950" s="44"/>
    </row>
    <row r="951" spans="8:8">
      <c r="H951" s="44"/>
    </row>
    <row r="952" spans="8:8">
      <c r="H952" s="44"/>
    </row>
    <row r="953" spans="8:8">
      <c r="H953" s="44"/>
    </row>
    <row r="954" spans="8:8">
      <c r="H954" s="44"/>
    </row>
    <row r="955" spans="8:8">
      <c r="H955" s="44"/>
    </row>
    <row r="956" spans="8:8">
      <c r="H956" s="44"/>
    </row>
    <row r="957" spans="8:8">
      <c r="H957" s="44"/>
    </row>
    <row r="958" spans="8:8">
      <c r="H958" s="44"/>
    </row>
    <row r="959" spans="8:8">
      <c r="H959" s="44"/>
    </row>
    <row r="960" spans="8:8">
      <c r="H960" s="44"/>
    </row>
    <row r="961" spans="8:8">
      <c r="H961" s="44"/>
    </row>
    <row r="962" spans="8:8">
      <c r="H962" s="44"/>
    </row>
    <row r="963" spans="8:8">
      <c r="H963" s="44"/>
    </row>
    <row r="964" spans="8:8">
      <c r="H964" s="44"/>
    </row>
    <row r="965" spans="8:8">
      <c r="H965" s="44"/>
    </row>
    <row r="966" spans="8:8">
      <c r="H966" s="44"/>
    </row>
    <row r="967" spans="8:8">
      <c r="H967" s="44"/>
    </row>
    <row r="968" spans="8:8">
      <c r="H968" s="44"/>
    </row>
    <row r="969" spans="8:8">
      <c r="H969" s="44"/>
    </row>
    <row r="970" spans="8:8">
      <c r="H970" s="44"/>
    </row>
    <row r="971" spans="8:8">
      <c r="H971" s="44"/>
    </row>
    <row r="972" spans="8:8">
      <c r="H972" s="44"/>
    </row>
    <row r="973" spans="8:8">
      <c r="H973" s="44"/>
    </row>
    <row r="974" spans="8:8">
      <c r="H974" s="44"/>
    </row>
    <row r="975" spans="8:8">
      <c r="H975" s="44"/>
    </row>
    <row r="976" spans="8:8">
      <c r="H976" s="44"/>
    </row>
    <row r="977" spans="8:8">
      <c r="H977" s="44"/>
    </row>
    <row r="978" spans="8:8">
      <c r="H978" s="44"/>
    </row>
    <row r="979" spans="8:8">
      <c r="H979" s="44"/>
    </row>
    <row r="980" spans="8:8">
      <c r="H980" s="44"/>
    </row>
    <row r="981" spans="8:8">
      <c r="H981" s="44"/>
    </row>
    <row r="982" spans="8:8">
      <c r="H982" s="44"/>
    </row>
    <row r="983" spans="8:8">
      <c r="H983" s="44"/>
    </row>
    <row r="984" spans="8:8">
      <c r="H984" s="44"/>
    </row>
    <row r="985" spans="8:8">
      <c r="H985" s="44"/>
    </row>
    <row r="986" spans="8:8">
      <c r="H986" s="4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A1:L1001"/>
  <sheetViews>
    <sheetView tabSelected="1" topLeftCell="A6" workbookViewId="0">
      <selection activeCell="D15" sqref="D15"/>
    </sheetView>
  </sheetViews>
  <sheetFormatPr defaultColWidth="14.42578125" defaultRowHeight="15" customHeight="1"/>
  <cols>
    <col min="1" max="1" width="13.7109375" style="259" customWidth="1"/>
    <col min="2" max="2" width="28.42578125" style="259" customWidth="1"/>
    <col min="3" max="3" width="44.7109375" style="259" customWidth="1"/>
    <col min="4" max="4" width="54.28515625" style="259" customWidth="1"/>
    <col min="5" max="5" width="33.7109375" style="259" customWidth="1"/>
    <col min="6" max="6" width="11.140625" style="259" customWidth="1"/>
    <col min="7" max="7" width="24.85546875" style="259" customWidth="1"/>
    <col min="8" max="8" width="22.5703125" style="259" customWidth="1"/>
    <col min="9" max="9" width="20.7109375" style="259" customWidth="1"/>
    <col min="10" max="10" width="6.42578125" style="259" customWidth="1"/>
    <col min="11" max="11" width="23.140625" style="259" customWidth="1"/>
    <col min="12" max="12" width="7.5703125" style="259" customWidth="1"/>
  </cols>
  <sheetData>
    <row r="1" spans="1:12">
      <c r="A1" s="34" t="s">
        <v>1206</v>
      </c>
      <c r="B1" s="34"/>
      <c r="C1" s="34"/>
      <c r="D1" s="35"/>
      <c r="E1" s="34"/>
      <c r="F1" s="34"/>
      <c r="G1" s="34"/>
      <c r="H1" s="34"/>
      <c r="I1" s="35"/>
      <c r="J1" s="29"/>
      <c r="K1" s="29"/>
    </row>
    <row r="2" spans="1:12">
      <c r="A2" s="36" t="s">
        <v>1116</v>
      </c>
      <c r="B2" s="37" t="s">
        <v>1117</v>
      </c>
      <c r="C2" s="39" t="s">
        <v>1118</v>
      </c>
      <c r="D2" s="38" t="s">
        <v>1119</v>
      </c>
      <c r="E2" s="39" t="s">
        <v>1120</v>
      </c>
      <c r="F2" s="39" t="s">
        <v>1121</v>
      </c>
      <c r="G2" s="39" t="s">
        <v>1122</v>
      </c>
      <c r="H2" s="39" t="s">
        <v>1123</v>
      </c>
      <c r="I2" s="38" t="s">
        <v>1207</v>
      </c>
      <c r="J2" s="29"/>
      <c r="K2" s="29"/>
    </row>
    <row r="3" spans="1:12" ht="114" customHeight="1">
      <c r="A3" s="60">
        <v>1</v>
      </c>
      <c r="B3" s="121" t="s">
        <v>1208</v>
      </c>
      <c r="C3" s="121" t="s">
        <v>1209</v>
      </c>
      <c r="D3" s="310" t="s">
        <v>1210</v>
      </c>
      <c r="E3" s="311" t="s">
        <v>1211</v>
      </c>
      <c r="F3" s="312" t="s">
        <v>1212</v>
      </c>
      <c r="G3" s="312"/>
      <c r="H3" s="311" t="s">
        <v>1213</v>
      </c>
      <c r="I3" s="310" t="s">
        <v>1214</v>
      </c>
      <c r="J3" s="29"/>
      <c r="K3" s="29"/>
    </row>
    <row r="4" spans="1:12" ht="38.25" customHeight="1">
      <c r="A4" s="60">
        <v>3</v>
      </c>
      <c r="B4" s="121" t="s">
        <v>1208</v>
      </c>
      <c r="C4" s="121" t="s">
        <v>1215</v>
      </c>
      <c r="D4" s="310" t="s">
        <v>1216</v>
      </c>
      <c r="E4" s="311" t="s">
        <v>1217</v>
      </c>
      <c r="F4" s="312" t="s">
        <v>1218</v>
      </c>
      <c r="G4" s="312" t="s">
        <v>1219</v>
      </c>
      <c r="H4" s="311" t="s">
        <v>1220</v>
      </c>
      <c r="I4" s="310" t="s">
        <v>1221</v>
      </c>
      <c r="J4" s="29"/>
      <c r="K4" s="29"/>
    </row>
    <row r="5" spans="1:12" ht="61.5" customHeight="1">
      <c r="A5" s="60">
        <v>4</v>
      </c>
      <c r="B5" s="121" t="s">
        <v>1208</v>
      </c>
      <c r="C5" s="48" t="s">
        <v>1222</v>
      </c>
      <c r="D5" s="313" t="s">
        <v>1223</v>
      </c>
      <c r="E5" s="315" t="s">
        <v>1217</v>
      </c>
      <c r="F5" s="316" t="s">
        <v>1218</v>
      </c>
      <c r="G5" s="315" t="s">
        <v>1224</v>
      </c>
      <c r="H5" s="316"/>
      <c r="I5" s="313" t="s">
        <v>1225</v>
      </c>
      <c r="J5" s="29"/>
      <c r="K5" s="29"/>
    </row>
    <row r="6" spans="1:12" ht="78" customHeight="1">
      <c r="A6" s="60">
        <v>5</v>
      </c>
      <c r="B6" s="121" t="s">
        <v>1208</v>
      </c>
      <c r="C6" s="48" t="s">
        <v>1226</v>
      </c>
      <c r="D6" s="314"/>
      <c r="E6" s="314"/>
      <c r="F6" s="314"/>
      <c r="G6" s="314"/>
      <c r="H6" s="314"/>
      <c r="I6" s="314"/>
      <c r="J6" s="29"/>
      <c r="K6" s="29"/>
    </row>
    <row r="7" spans="1:12">
      <c r="A7" s="29"/>
      <c r="B7" s="29"/>
      <c r="C7" s="29"/>
      <c r="D7" s="40"/>
      <c r="E7" s="29"/>
      <c r="F7" s="29"/>
      <c r="G7" s="29"/>
      <c r="H7" s="29"/>
      <c r="I7" s="40"/>
      <c r="J7" s="29"/>
      <c r="K7" s="29"/>
    </row>
    <row r="8" spans="1:12">
      <c r="A8" s="29"/>
      <c r="B8" s="29"/>
      <c r="C8" s="29"/>
      <c r="D8" s="40"/>
      <c r="E8" s="311"/>
      <c r="F8" s="311"/>
      <c r="G8" s="29"/>
      <c r="H8" s="29"/>
      <c r="I8" s="40"/>
      <c r="J8" s="29"/>
      <c r="K8" s="29"/>
    </row>
    <row r="9" spans="1:12">
      <c r="A9" s="34" t="s">
        <v>1058</v>
      </c>
      <c r="B9" s="34" t="s">
        <v>1059</v>
      </c>
      <c r="C9" s="34" t="s">
        <v>1065</v>
      </c>
      <c r="D9" s="35" t="s">
        <v>1066</v>
      </c>
      <c r="E9" s="34" t="s">
        <v>1068</v>
      </c>
      <c r="F9" s="34" t="s">
        <v>1067</v>
      </c>
      <c r="G9" s="34" t="s">
        <v>1069</v>
      </c>
      <c r="H9" s="34" t="s">
        <v>1070</v>
      </c>
      <c r="I9" s="35" t="s">
        <v>1071</v>
      </c>
      <c r="J9" s="34" t="s">
        <v>1072</v>
      </c>
      <c r="K9" s="34" t="s">
        <v>1073</v>
      </c>
    </row>
    <row r="10" spans="1:12">
      <c r="A10" s="121" t="s">
        <v>1208</v>
      </c>
      <c r="B10" s="121" t="s">
        <v>1209</v>
      </c>
      <c r="C10" s="258" t="s">
        <v>1227</v>
      </c>
      <c r="D10" s="41" t="s">
        <v>1228</v>
      </c>
      <c r="E10" s="49" t="s">
        <v>1229</v>
      </c>
      <c r="F10" s="311" t="s">
        <v>1230</v>
      </c>
      <c r="G10" s="16" t="s">
        <v>161</v>
      </c>
      <c r="H10" s="311" t="s">
        <v>1231</v>
      </c>
      <c r="I10" s="310" t="s">
        <v>1232</v>
      </c>
      <c r="J10" s="16">
        <v>32</v>
      </c>
      <c r="K10" s="49" t="s">
        <v>1233</v>
      </c>
      <c r="L10" s="13" t="str">
        <f>"COMMENT ON COLUMN PG_SILVER."&amp;F10&amp;"."&amp;G10&amp;" IS '"&amp;J10&amp;"';"</f>
        <v>COMMENT ON COLUMN PG_SILVER.Arrangement Activity Schedule Item.AR_AVY_SHD_ITM IS '32';</v>
      </c>
    </row>
    <row r="11" spans="1:12">
      <c r="A11" s="121" t="s">
        <v>1208</v>
      </c>
      <c r="B11" s="121" t="s">
        <v>1209</v>
      </c>
      <c r="C11" s="258" t="s">
        <v>1227</v>
      </c>
      <c r="D11" s="41" t="s">
        <v>1128</v>
      </c>
      <c r="E11" s="32" t="s">
        <v>1234</v>
      </c>
      <c r="F11" s="311" t="s">
        <v>1230</v>
      </c>
      <c r="G11" s="16" t="s">
        <v>161</v>
      </c>
      <c r="H11" s="311" t="s">
        <v>1235</v>
      </c>
      <c r="I11" s="310" t="s">
        <v>1232</v>
      </c>
      <c r="J11" s="16">
        <v>32</v>
      </c>
      <c r="K11" s="32" t="s">
        <v>1236</v>
      </c>
      <c r="L11" s="13" t="str">
        <f>"COMMENT ON COLUMN PG_SILVER."&amp;F11&amp;"."&amp;G11&amp;" IS '"&amp;J11&amp;"';"</f>
        <v>COMMENT ON COLUMN PG_SILVER.Arrangement Activity Schedule Item.AR_AVY_SHD_ITM IS '32';</v>
      </c>
    </row>
    <row r="12" spans="1:12">
      <c r="A12" s="121"/>
      <c r="B12" s="121"/>
      <c r="C12" s="258"/>
      <c r="D12" s="50" t="s">
        <v>1237</v>
      </c>
      <c r="E12" s="32" t="s">
        <v>1238</v>
      </c>
      <c r="F12" s="311" t="s">
        <v>1230</v>
      </c>
      <c r="G12" s="16" t="s">
        <v>161</v>
      </c>
      <c r="H12" s="311" t="s">
        <v>1239</v>
      </c>
      <c r="I12" s="310" t="s">
        <v>1232</v>
      </c>
      <c r="J12" s="16">
        <v>32</v>
      </c>
      <c r="K12" s="32" t="s">
        <v>1240</v>
      </c>
      <c r="L12" s="13" t="str">
        <f>"COMMENT ON COLUMN PG_SILVER."&amp;F12&amp;"."&amp;G12&amp;" IS '"&amp;J12&amp;"';"</f>
        <v>COMMENT ON COLUMN PG_SILVER.Arrangement Activity Schedule Item.AR_AVY_SHD_ITM IS '32';</v>
      </c>
    </row>
    <row r="13" spans="1:12">
      <c r="A13" s="121" t="s">
        <v>1208</v>
      </c>
      <c r="B13" s="121" t="s">
        <v>1209</v>
      </c>
      <c r="C13" s="24" t="s">
        <v>1241</v>
      </c>
      <c r="D13" s="41" t="s">
        <v>1242</v>
      </c>
      <c r="E13" s="32" t="s">
        <v>1243</v>
      </c>
      <c r="F13" s="311" t="s">
        <v>1230</v>
      </c>
      <c r="G13" s="16" t="s">
        <v>161</v>
      </c>
      <c r="H13" s="311" t="s">
        <v>1078</v>
      </c>
      <c r="I13" s="310" t="s">
        <v>1232</v>
      </c>
      <c r="J13" s="16">
        <v>32</v>
      </c>
      <c r="K13" s="49" t="s">
        <v>1244</v>
      </c>
      <c r="L13" s="13" t="str">
        <f>"COMMENT ON COLUMN PG_SILVER."&amp;F13&amp;"."&amp;G13&amp;" IS '"&amp;J13&amp;"';"</f>
        <v>COMMENT ON COLUMN PG_SILVER.Arrangement Activity Schedule Item.AR_AVY_SHD_ITM IS '32';</v>
      </c>
    </row>
    <row r="14" spans="1:12" ht="14.25" customHeight="1">
      <c r="A14" s="121" t="s">
        <v>1208</v>
      </c>
      <c r="B14" s="121" t="s">
        <v>1209</v>
      </c>
      <c r="C14" s="24" t="s">
        <v>1241</v>
      </c>
      <c r="D14" s="41" t="s">
        <v>1128</v>
      </c>
      <c r="E14" s="32" t="s">
        <v>1245</v>
      </c>
      <c r="F14" s="311" t="s">
        <v>1230</v>
      </c>
      <c r="G14" s="16" t="s">
        <v>161</v>
      </c>
      <c r="H14" s="51" t="s">
        <v>1082</v>
      </c>
      <c r="I14" s="310" t="s">
        <v>1232</v>
      </c>
      <c r="J14" s="16">
        <v>32</v>
      </c>
      <c r="K14" s="52" t="s">
        <v>1246</v>
      </c>
      <c r="L14" s="13" t="str">
        <f>"COMMENT ON COLUMN PG_SILVER."&amp;F14&amp;"."&amp;G14&amp;" IS '"&amp;J14&amp;"';"</f>
        <v>COMMENT ON COLUMN PG_SILVER.Arrangement Activity Schedule Item.AR_AVY_SHD_ITM IS '32';</v>
      </c>
    </row>
    <row r="15" spans="1:12" ht="211.5" customHeight="1">
      <c r="A15" s="55" t="s">
        <v>512</v>
      </c>
      <c r="B15" s="59" t="s">
        <v>1247</v>
      </c>
      <c r="C15" s="53" t="s">
        <v>1248</v>
      </c>
      <c r="D15" s="54" t="s">
        <v>1249</v>
      </c>
      <c r="E15" s="55" t="s">
        <v>1250</v>
      </c>
      <c r="F15" s="311" t="s">
        <v>1230</v>
      </c>
      <c r="G15" s="16" t="s">
        <v>161</v>
      </c>
      <c r="H15" s="55" t="s">
        <v>1251</v>
      </c>
      <c r="I15" s="310" t="s">
        <v>1232</v>
      </c>
      <c r="J15" s="16">
        <v>10</v>
      </c>
      <c r="K15" s="56" t="s">
        <v>1252</v>
      </c>
      <c r="L15" s="13" t="str">
        <f>"COMMENT ON COLUMN PG_SILVER."&amp;F15&amp;"."&amp;G15&amp;" IS '"&amp;J15&amp;"';"</f>
        <v>COMMENT ON COLUMN PG_SILVER.Arrangement Activity Schedule Item.AR_AVY_SHD_ITM IS '10';</v>
      </c>
    </row>
    <row r="16" spans="1:12">
      <c r="A16" s="121" t="s">
        <v>1208</v>
      </c>
      <c r="B16" s="121" t="s">
        <v>1209</v>
      </c>
      <c r="C16" s="24" t="s">
        <v>1253</v>
      </c>
      <c r="D16" s="41" t="s">
        <v>1128</v>
      </c>
      <c r="E16" s="311" t="s">
        <v>1254</v>
      </c>
      <c r="F16" s="311" t="s">
        <v>1230</v>
      </c>
      <c r="G16" s="16" t="s">
        <v>161</v>
      </c>
      <c r="H16" s="311" t="s">
        <v>1255</v>
      </c>
      <c r="I16" s="310" t="s">
        <v>1106</v>
      </c>
      <c r="J16" s="16">
        <v>25.5</v>
      </c>
      <c r="K16" s="57" t="s">
        <v>1256</v>
      </c>
      <c r="L16" s="13" t="str">
        <f>"COMMENT ON COLUMN PG_SILVER."&amp;F16&amp;"."&amp;G16&amp;" IS '"&amp;J16&amp;"';"</f>
        <v>COMMENT ON COLUMN PG_SILVER.Arrangement Activity Schedule Item.AR_AVY_SHD_ITM IS '25,5';</v>
      </c>
    </row>
    <row r="17" spans="1:12">
      <c r="A17" s="121" t="s">
        <v>1208</v>
      </c>
      <c r="B17" s="121" t="s">
        <v>1209</v>
      </c>
      <c r="C17" s="24" t="s">
        <v>1257</v>
      </c>
      <c r="D17" s="41" t="s">
        <v>1128</v>
      </c>
      <c r="E17" s="311" t="s">
        <v>1258</v>
      </c>
      <c r="F17" s="311" t="s">
        <v>1230</v>
      </c>
      <c r="G17" s="16" t="s">
        <v>161</v>
      </c>
      <c r="H17" s="311" t="s">
        <v>1259</v>
      </c>
      <c r="I17" s="310" t="s">
        <v>1106</v>
      </c>
      <c r="J17" s="16">
        <v>25.5</v>
      </c>
      <c r="K17" s="57" t="s">
        <v>1260</v>
      </c>
      <c r="L17" s="13" t="str">
        <f>"COMMENT ON COLUMN PG_SILVER."&amp;F17&amp;"."&amp;G17&amp;" IS '"&amp;J17&amp;"';"</f>
        <v>COMMENT ON COLUMN PG_SILVER.Arrangement Activity Schedule Item.AR_AVY_SHD_ITM IS '25,5';</v>
      </c>
    </row>
    <row r="18" spans="1:12">
      <c r="A18" s="121" t="s">
        <v>1208</v>
      </c>
      <c r="B18" s="121" t="s">
        <v>1209</v>
      </c>
      <c r="C18" s="53" t="s">
        <v>1261</v>
      </c>
      <c r="D18" s="54" t="s">
        <v>1128</v>
      </c>
      <c r="E18" s="32" t="s">
        <v>178</v>
      </c>
      <c r="F18" s="32" t="s">
        <v>1230</v>
      </c>
      <c r="G18" s="49" t="s">
        <v>161</v>
      </c>
      <c r="H18" s="32" t="s">
        <v>179</v>
      </c>
      <c r="I18" s="59" t="s">
        <v>1106</v>
      </c>
      <c r="J18" s="49">
        <v>25.5</v>
      </c>
      <c r="K18" s="57" t="s">
        <v>936</v>
      </c>
      <c r="L18" s="58" t="str">
        <f>"COMMENT ON COLUMN PG_SILVER."&amp;F18&amp;"."&amp;G18&amp;" IS '"&amp;J18&amp;"';"</f>
        <v>COMMENT ON COLUMN PG_SILVER.Arrangement Activity Schedule Item.AR_AVY_SHD_ITM IS '25,5';</v>
      </c>
    </row>
    <row r="19" spans="1:12">
      <c r="A19" s="121" t="s">
        <v>1208</v>
      </c>
      <c r="B19" s="121" t="s">
        <v>1209</v>
      </c>
      <c r="C19" s="53" t="s">
        <v>1262</v>
      </c>
      <c r="D19" s="54" t="s">
        <v>1128</v>
      </c>
      <c r="E19" s="27" t="s">
        <v>752</v>
      </c>
      <c r="F19" s="32" t="s">
        <v>1230</v>
      </c>
      <c r="G19" s="49" t="s">
        <v>161</v>
      </c>
      <c r="H19" s="32" t="s">
        <v>281</v>
      </c>
      <c r="I19" s="59" t="s">
        <v>1232</v>
      </c>
      <c r="J19" s="49">
        <v>10</v>
      </c>
      <c r="K19" s="151" t="s">
        <v>1263</v>
      </c>
      <c r="L19" s="58" t="str">
        <f>"COMMENT ON COLUMN PG_SILVER."&amp;F19&amp;"."&amp;G19&amp;" IS '"&amp;J19&amp;"';"</f>
        <v>COMMENT ON COLUMN PG_SILVER.Arrangement Activity Schedule Item.AR_AVY_SHD_ITM IS '10';</v>
      </c>
    </row>
    <row r="20" spans="1:12">
      <c r="A20" s="121" t="s">
        <v>1208</v>
      </c>
      <c r="B20" s="121" t="s">
        <v>1209</v>
      </c>
      <c r="C20" s="24" t="s">
        <v>1264</v>
      </c>
      <c r="D20" s="41" t="s">
        <v>1128</v>
      </c>
      <c r="E20" s="32" t="s">
        <v>1265</v>
      </c>
      <c r="F20" s="311" t="s">
        <v>1230</v>
      </c>
      <c r="G20" s="16" t="s">
        <v>161</v>
      </c>
      <c r="H20" s="311" t="s">
        <v>1266</v>
      </c>
      <c r="I20" s="310" t="s">
        <v>1267</v>
      </c>
      <c r="J20" s="16"/>
      <c r="K20" s="59" t="s">
        <v>1268</v>
      </c>
      <c r="L20" s="13" t="str">
        <f>"COMMENT ON COLUMN PG_SILVER."&amp;F20&amp;"."&amp;G20&amp;" IS '"&amp;J20&amp;"';"</f>
        <v>COMMENT ON COLUMN PG_SILVER.Arrangement Activity Schedule Item.AR_AVY_SHD_ITM IS '';</v>
      </c>
    </row>
    <row r="21" spans="1:12">
      <c r="A21" s="121" t="s">
        <v>1208</v>
      </c>
      <c r="B21" s="258" t="s">
        <v>1269</v>
      </c>
      <c r="C21" s="24" t="s">
        <v>1270</v>
      </c>
      <c r="D21" s="41" t="s">
        <v>1271</v>
      </c>
      <c r="E21" s="311" t="s">
        <v>1272</v>
      </c>
      <c r="F21" s="311" t="s">
        <v>1230</v>
      </c>
      <c r="G21" s="16" t="s">
        <v>161</v>
      </c>
      <c r="H21" s="51" t="s">
        <v>1273</v>
      </c>
      <c r="I21" s="310" t="s">
        <v>1274</v>
      </c>
      <c r="J21" s="60" t="s">
        <v>1275</v>
      </c>
      <c r="K21" s="57" t="s">
        <v>1276</v>
      </c>
      <c r="L21" s="13" t="str">
        <f>"COMMENT ON COLUMN PG_SILVER."&amp;F21&amp;"."&amp;G21&amp;" IS '"&amp;J21&amp;"';"</f>
        <v>COMMENT ON COLUMN PG_SILVER.Arrangement Activity Schedule Item.AR_AVY_SHD_ITM IS '1,0'';</v>
      </c>
    </row>
    <row r="22" spans="1:12" ht="60.75">
      <c r="A22" s="121" t="s">
        <v>1208</v>
      </c>
      <c r="B22" s="41" t="s">
        <v>1269</v>
      </c>
      <c r="C22" s="258" t="s">
        <v>1277</v>
      </c>
      <c r="D22" s="41" t="s">
        <v>1128</v>
      </c>
      <c r="E22" s="311" t="s">
        <v>1278</v>
      </c>
      <c r="F22" s="311" t="s">
        <v>1230</v>
      </c>
      <c r="G22" s="16" t="s">
        <v>161</v>
      </c>
      <c r="H22" s="51" t="s">
        <v>1279</v>
      </c>
      <c r="I22" s="310" t="s">
        <v>1267</v>
      </c>
      <c r="J22" s="16">
        <v>25.5</v>
      </c>
      <c r="K22" s="57" t="s">
        <v>1280</v>
      </c>
      <c r="L22" s="13" t="str">
        <f>"COMMENT ON COLUMN PG_SILVER."&amp;F22&amp;"."&amp;G22&amp;" IS '"&amp;J22&amp;"';"</f>
        <v>COMMENT ON COLUMN PG_SILVER.Arrangement Activity Schedule Item.AR_AVY_SHD_ITM IS '25,5';</v>
      </c>
    </row>
    <row r="23" spans="1:12">
      <c r="A23" s="121"/>
      <c r="B23" s="258"/>
      <c r="C23" s="24"/>
      <c r="D23" s="50" t="s">
        <v>1281</v>
      </c>
      <c r="E23" s="32" t="s">
        <v>1093</v>
      </c>
      <c r="F23" s="311" t="s">
        <v>1230</v>
      </c>
      <c r="G23" s="16" t="s">
        <v>161</v>
      </c>
      <c r="H23" s="311" t="s">
        <v>316</v>
      </c>
      <c r="I23" s="310" t="s">
        <v>1232</v>
      </c>
      <c r="J23" s="16">
        <v>32</v>
      </c>
      <c r="K23" s="311" t="s">
        <v>1094</v>
      </c>
      <c r="L23" s="13" t="str">
        <f>"COMMENT ON COLUMN PG_SILVER."&amp;F23&amp;"."&amp;G23&amp;" IS '"&amp;J23&amp;"';"</f>
        <v>COMMENT ON COLUMN PG_SILVER.Arrangement Activity Schedule Item.AR_AVY_SHD_ITM IS '32';</v>
      </c>
    </row>
    <row r="24" spans="1:12">
      <c r="A24" s="121" t="s">
        <v>1208</v>
      </c>
      <c r="B24" s="121" t="s">
        <v>1209</v>
      </c>
      <c r="C24" s="258" t="s">
        <v>1282</v>
      </c>
      <c r="D24" s="41" t="s">
        <v>1283</v>
      </c>
      <c r="E24" s="311" t="s">
        <v>1284</v>
      </c>
      <c r="F24" s="311" t="s">
        <v>1230</v>
      </c>
      <c r="G24" s="16" t="s">
        <v>161</v>
      </c>
      <c r="H24" s="51" t="s">
        <v>1285</v>
      </c>
      <c r="I24" s="310" t="s">
        <v>1232</v>
      </c>
      <c r="J24" s="16">
        <v>32</v>
      </c>
      <c r="K24" s="311" t="s">
        <v>1286</v>
      </c>
      <c r="L24" s="13" t="str">
        <f>"COMMENT ON COLUMN PG_SILVER."&amp;F24&amp;"."&amp;G24&amp;" IS '"&amp;J24&amp;"';"</f>
        <v>COMMENT ON COLUMN PG_SILVER.Arrangement Activity Schedule Item.AR_AVY_SHD_ITM IS '32';</v>
      </c>
    </row>
    <row r="25" spans="1:12">
      <c r="A25" s="61" t="s">
        <v>1208</v>
      </c>
      <c r="B25" s="61" t="s">
        <v>1209</v>
      </c>
      <c r="C25" s="286" t="s">
        <v>1282</v>
      </c>
      <c r="D25" s="62" t="s">
        <v>1282</v>
      </c>
      <c r="E25" s="63" t="s">
        <v>847</v>
      </c>
      <c r="F25" s="63" t="s">
        <v>1230</v>
      </c>
      <c r="G25" s="64" t="s">
        <v>161</v>
      </c>
      <c r="H25" s="51" t="s">
        <v>1287</v>
      </c>
      <c r="I25" s="65" t="s">
        <v>1232</v>
      </c>
      <c r="J25" s="64">
        <v>32</v>
      </c>
      <c r="K25" s="63" t="s">
        <v>1288</v>
      </c>
      <c r="L25" s="66"/>
    </row>
    <row r="26" spans="1:12">
      <c r="A26" s="121"/>
      <c r="B26" s="121"/>
      <c r="C26" s="258"/>
      <c r="D26" s="310" t="s">
        <v>1289</v>
      </c>
      <c r="E26" s="16" t="s">
        <v>1290</v>
      </c>
      <c r="F26" s="311" t="s">
        <v>1230</v>
      </c>
      <c r="G26" s="16" t="s">
        <v>161</v>
      </c>
      <c r="H26" s="16" t="s">
        <v>1291</v>
      </c>
      <c r="I26" s="310" t="s">
        <v>519</v>
      </c>
      <c r="J26" s="16"/>
      <c r="K26" s="16" t="s">
        <v>1292</v>
      </c>
      <c r="L26" s="13" t="str">
        <f>"COMMENT ON COLUMN PG_SILVER."&amp;F26&amp;"."&amp;G26&amp;" IS '"&amp;J26&amp;"';"</f>
        <v>COMMENT ON COLUMN PG_SILVER.Arrangement Activity Schedule Item.AR_AVY_SHD_ITM IS '';</v>
      </c>
    </row>
    <row r="27" spans="1:12">
      <c r="A27" s="121"/>
      <c r="B27" s="258"/>
      <c r="C27" s="258"/>
      <c r="D27" s="310" t="s">
        <v>1293</v>
      </c>
      <c r="E27" s="16" t="s">
        <v>1294</v>
      </c>
      <c r="F27" s="311" t="s">
        <v>1230</v>
      </c>
      <c r="G27" s="16" t="s">
        <v>161</v>
      </c>
      <c r="H27" s="16" t="s">
        <v>1295</v>
      </c>
      <c r="I27" s="310" t="s">
        <v>519</v>
      </c>
      <c r="J27" s="16"/>
      <c r="K27" s="16" t="s">
        <v>1296</v>
      </c>
      <c r="L27" s="13" t="str">
        <f>"COMMENT ON COLUMN PG_SILVER."&amp;F27&amp;"."&amp;G27&amp;" IS '"&amp;J27&amp;"';"</f>
        <v>COMMENT ON COLUMN PG_SILVER.Arrangement Activity Schedule Item.AR_AVY_SHD_ITM IS '';</v>
      </c>
    </row>
    <row r="28" spans="1:12">
      <c r="D28" s="310" t="s">
        <v>1297</v>
      </c>
      <c r="E28" s="16" t="s">
        <v>1298</v>
      </c>
      <c r="F28" s="311" t="s">
        <v>1230</v>
      </c>
      <c r="G28" s="16" t="s">
        <v>161</v>
      </c>
      <c r="H28" s="16" t="s">
        <v>1299</v>
      </c>
      <c r="I28" s="310" t="s">
        <v>519</v>
      </c>
      <c r="J28" s="16"/>
      <c r="K28" s="16" t="s">
        <v>1300</v>
      </c>
      <c r="L28" s="13" t="str">
        <f>"COMMENT ON COLUMN PG_SILVER."&amp;F28&amp;"."&amp;G28&amp;" IS '"&amp;J28&amp;"';"</f>
        <v>COMMENT ON COLUMN PG_SILVER.Arrangement Activity Schedule Item.AR_AVY_SHD_ITM IS '';</v>
      </c>
    </row>
    <row r="29" spans="1:12">
      <c r="D29" s="44"/>
      <c r="I29" s="44"/>
    </row>
    <row r="30" spans="1:12">
      <c r="D30" s="44"/>
      <c r="I30" s="44"/>
    </row>
    <row r="31" spans="1:12">
      <c r="D31" s="44"/>
      <c r="I31" s="44"/>
    </row>
    <row r="32" spans="1:12">
      <c r="D32" s="44"/>
      <c r="I32" s="44"/>
    </row>
    <row r="33" spans="4:9">
      <c r="D33" s="44"/>
      <c r="I33" s="44"/>
    </row>
    <row r="34" spans="4:9">
      <c r="D34" s="44"/>
      <c r="I34" s="44"/>
    </row>
    <row r="35" spans="4:9">
      <c r="D35" s="44"/>
      <c r="I35" s="44"/>
    </row>
    <row r="36" spans="4:9">
      <c r="D36" s="44"/>
      <c r="I36" s="44"/>
    </row>
    <row r="37" spans="4:9">
      <c r="D37" s="44"/>
      <c r="I37" s="44"/>
    </row>
    <row r="38" spans="4:9">
      <c r="D38" s="44"/>
      <c r="I38" s="44"/>
    </row>
    <row r="39" spans="4:9">
      <c r="D39" s="44"/>
      <c r="I39" s="44"/>
    </row>
    <row r="40" spans="4:9">
      <c r="D40" s="44"/>
      <c r="I40" s="44"/>
    </row>
    <row r="41" spans="4:9">
      <c r="D41" s="44"/>
      <c r="I41" s="44"/>
    </row>
    <row r="42" spans="4:9">
      <c r="D42" s="44"/>
      <c r="I42" s="44"/>
    </row>
    <row r="43" spans="4:9">
      <c r="D43" s="44"/>
      <c r="I43" s="44"/>
    </row>
    <row r="44" spans="4:9">
      <c r="D44" s="44"/>
      <c r="I44" s="44"/>
    </row>
    <row r="45" spans="4:9">
      <c r="D45" s="44"/>
      <c r="I45" s="44"/>
    </row>
    <row r="46" spans="4:9">
      <c r="D46" s="44"/>
      <c r="I46" s="44"/>
    </row>
    <row r="47" spans="4:9">
      <c r="D47" s="44"/>
      <c r="I47" s="44"/>
    </row>
    <row r="48" spans="4:9">
      <c r="D48" s="44"/>
      <c r="I48" s="44"/>
    </row>
    <row r="49" spans="4:9">
      <c r="D49" s="44"/>
      <c r="I49" s="44"/>
    </row>
    <row r="50" spans="4:9">
      <c r="D50" s="44"/>
      <c r="I50" s="44"/>
    </row>
    <row r="51" spans="4:9">
      <c r="D51" s="44"/>
      <c r="I51" s="44"/>
    </row>
    <row r="52" spans="4:9">
      <c r="D52" s="44"/>
      <c r="I52" s="44"/>
    </row>
    <row r="53" spans="4:9">
      <c r="D53" s="44"/>
      <c r="I53" s="44"/>
    </row>
    <row r="54" spans="4:9">
      <c r="D54" s="44"/>
      <c r="I54" s="44"/>
    </row>
    <row r="55" spans="4:9">
      <c r="D55" s="44"/>
      <c r="I55" s="44"/>
    </row>
    <row r="56" spans="4:9">
      <c r="D56" s="44"/>
      <c r="I56" s="44"/>
    </row>
    <row r="57" spans="4:9">
      <c r="D57" s="44"/>
      <c r="I57" s="44"/>
    </row>
    <row r="58" spans="4:9">
      <c r="D58" s="44"/>
      <c r="I58" s="44"/>
    </row>
    <row r="59" spans="4:9">
      <c r="D59" s="44"/>
      <c r="I59" s="44"/>
    </row>
    <row r="60" spans="4:9">
      <c r="D60" s="44"/>
      <c r="I60" s="44"/>
    </row>
    <row r="61" spans="4:9">
      <c r="D61" s="44"/>
      <c r="I61" s="44"/>
    </row>
    <row r="62" spans="4:9">
      <c r="D62" s="44"/>
      <c r="I62" s="44"/>
    </row>
    <row r="63" spans="4:9">
      <c r="D63" s="44"/>
      <c r="I63" s="44"/>
    </row>
    <row r="64" spans="4:9">
      <c r="D64" s="44"/>
      <c r="I64" s="44"/>
    </row>
    <row r="65" spans="4:9">
      <c r="D65" s="44"/>
      <c r="I65" s="44"/>
    </row>
    <row r="66" spans="4:9">
      <c r="D66" s="44"/>
      <c r="I66" s="44"/>
    </row>
    <row r="67" spans="4:9">
      <c r="D67" s="44"/>
      <c r="I67" s="44"/>
    </row>
    <row r="68" spans="4:9">
      <c r="D68" s="44"/>
      <c r="I68" s="44"/>
    </row>
    <row r="69" spans="4:9">
      <c r="D69" s="44"/>
      <c r="I69" s="44"/>
    </row>
    <row r="70" spans="4:9">
      <c r="D70" s="44"/>
      <c r="I70" s="44"/>
    </row>
    <row r="71" spans="4:9">
      <c r="D71" s="44"/>
      <c r="I71" s="44"/>
    </row>
    <row r="72" spans="4:9">
      <c r="D72" s="44"/>
      <c r="I72" s="44"/>
    </row>
    <row r="73" spans="4:9">
      <c r="D73" s="44"/>
      <c r="I73" s="44"/>
    </row>
    <row r="74" spans="4:9">
      <c r="D74" s="44"/>
      <c r="I74" s="44"/>
    </row>
    <row r="75" spans="4:9">
      <c r="D75" s="44"/>
      <c r="I75" s="44"/>
    </row>
    <row r="76" spans="4:9">
      <c r="D76" s="44"/>
      <c r="I76" s="44"/>
    </row>
    <row r="77" spans="4:9">
      <c r="D77" s="44"/>
      <c r="I77" s="44"/>
    </row>
    <row r="78" spans="4:9">
      <c r="D78" s="44"/>
      <c r="I78" s="44"/>
    </row>
    <row r="79" spans="4:9">
      <c r="D79" s="44"/>
      <c r="I79" s="44"/>
    </row>
    <row r="80" spans="4:9">
      <c r="D80" s="44"/>
      <c r="I80" s="44"/>
    </row>
    <row r="81" spans="4:9">
      <c r="D81" s="44"/>
      <c r="I81" s="44"/>
    </row>
    <row r="82" spans="4:9">
      <c r="D82" s="44"/>
      <c r="I82" s="44"/>
    </row>
    <row r="83" spans="4:9">
      <c r="D83" s="44"/>
      <c r="I83" s="44"/>
    </row>
    <row r="84" spans="4:9">
      <c r="D84" s="44"/>
      <c r="I84" s="44"/>
    </row>
    <row r="85" spans="4:9">
      <c r="D85" s="44"/>
      <c r="I85" s="44"/>
    </row>
    <row r="86" spans="4:9">
      <c r="D86" s="44"/>
      <c r="I86" s="44"/>
    </row>
    <row r="87" spans="4:9">
      <c r="D87" s="44"/>
      <c r="I87" s="44"/>
    </row>
    <row r="88" spans="4:9">
      <c r="D88" s="44"/>
      <c r="I88" s="44"/>
    </row>
    <row r="89" spans="4:9">
      <c r="D89" s="44"/>
      <c r="I89" s="44"/>
    </row>
    <row r="90" spans="4:9">
      <c r="D90" s="44"/>
      <c r="I90" s="44"/>
    </row>
    <row r="91" spans="4:9">
      <c r="D91" s="44"/>
      <c r="I91" s="44"/>
    </row>
    <row r="92" spans="4:9">
      <c r="D92" s="44"/>
      <c r="I92" s="44"/>
    </row>
    <row r="93" spans="4:9">
      <c r="D93" s="44"/>
      <c r="I93" s="44"/>
    </row>
    <row r="94" spans="4:9">
      <c r="D94" s="44"/>
      <c r="I94" s="44"/>
    </row>
    <row r="95" spans="4:9">
      <c r="D95" s="44"/>
      <c r="I95" s="44"/>
    </row>
    <row r="96" spans="4:9">
      <c r="D96" s="44"/>
      <c r="I96" s="44"/>
    </row>
    <row r="97" spans="4:9">
      <c r="D97" s="44"/>
      <c r="I97" s="44"/>
    </row>
    <row r="98" spans="4:9">
      <c r="D98" s="44"/>
      <c r="I98" s="44"/>
    </row>
    <row r="99" spans="4:9">
      <c r="D99" s="44"/>
      <c r="I99" s="44"/>
    </row>
    <row r="100" spans="4:9">
      <c r="D100" s="44"/>
      <c r="I100" s="44"/>
    </row>
    <row r="101" spans="4:9">
      <c r="D101" s="44"/>
      <c r="I101" s="44"/>
    </row>
    <row r="102" spans="4:9">
      <c r="D102" s="44"/>
      <c r="I102" s="44"/>
    </row>
    <row r="103" spans="4:9">
      <c r="D103" s="44"/>
      <c r="I103" s="44"/>
    </row>
    <row r="104" spans="4:9">
      <c r="D104" s="44"/>
      <c r="I104" s="44"/>
    </row>
    <row r="105" spans="4:9">
      <c r="D105" s="44"/>
      <c r="I105" s="44"/>
    </row>
    <row r="106" spans="4:9">
      <c r="D106" s="44"/>
      <c r="I106" s="44"/>
    </row>
    <row r="107" spans="4:9">
      <c r="D107" s="44"/>
      <c r="I107" s="44"/>
    </row>
    <row r="108" spans="4:9">
      <c r="D108" s="44"/>
      <c r="I108" s="44"/>
    </row>
    <row r="109" spans="4:9">
      <c r="D109" s="44"/>
      <c r="I109" s="44"/>
    </row>
    <row r="110" spans="4:9">
      <c r="D110" s="44"/>
      <c r="I110" s="44"/>
    </row>
    <row r="111" spans="4:9">
      <c r="D111" s="44"/>
      <c r="I111" s="44"/>
    </row>
    <row r="112" spans="4:9">
      <c r="D112" s="44"/>
      <c r="I112" s="44"/>
    </row>
    <row r="113" spans="4:9">
      <c r="D113" s="44"/>
      <c r="I113" s="44"/>
    </row>
    <row r="114" spans="4:9">
      <c r="D114" s="44"/>
      <c r="I114" s="44"/>
    </row>
    <row r="115" spans="4:9">
      <c r="D115" s="44"/>
      <c r="I115" s="44"/>
    </row>
    <row r="116" spans="4:9">
      <c r="D116" s="44"/>
      <c r="I116" s="44"/>
    </row>
    <row r="117" spans="4:9">
      <c r="D117" s="44"/>
      <c r="I117" s="44"/>
    </row>
    <row r="118" spans="4:9">
      <c r="D118" s="44"/>
      <c r="I118" s="44"/>
    </row>
    <row r="119" spans="4:9">
      <c r="D119" s="44"/>
      <c r="I119" s="44"/>
    </row>
    <row r="120" spans="4:9">
      <c r="D120" s="44"/>
      <c r="I120" s="44"/>
    </row>
    <row r="121" spans="4:9">
      <c r="D121" s="44"/>
      <c r="I121" s="44"/>
    </row>
    <row r="122" spans="4:9">
      <c r="D122" s="44"/>
      <c r="I122" s="44"/>
    </row>
    <row r="123" spans="4:9">
      <c r="D123" s="44"/>
      <c r="I123" s="44"/>
    </row>
    <row r="124" spans="4:9">
      <c r="D124" s="44"/>
      <c r="I124" s="44"/>
    </row>
    <row r="125" spans="4:9">
      <c r="D125" s="44"/>
      <c r="I125" s="44"/>
    </row>
    <row r="126" spans="4:9">
      <c r="D126" s="44"/>
      <c r="I126" s="44"/>
    </row>
    <row r="127" spans="4:9">
      <c r="D127" s="44"/>
      <c r="I127" s="44"/>
    </row>
    <row r="128" spans="4:9">
      <c r="D128" s="44"/>
      <c r="I128" s="44"/>
    </row>
    <row r="129" spans="4:9">
      <c r="D129" s="44"/>
      <c r="I129" s="44"/>
    </row>
    <row r="130" spans="4:9">
      <c r="D130" s="44"/>
      <c r="I130" s="44"/>
    </row>
    <row r="131" spans="4:9">
      <c r="D131" s="44"/>
      <c r="I131" s="44"/>
    </row>
    <row r="132" spans="4:9">
      <c r="D132" s="44"/>
      <c r="I132" s="44"/>
    </row>
    <row r="133" spans="4:9">
      <c r="D133" s="44"/>
      <c r="I133" s="44"/>
    </row>
    <row r="134" spans="4:9">
      <c r="D134" s="44"/>
      <c r="I134" s="44"/>
    </row>
    <row r="135" spans="4:9">
      <c r="D135" s="44"/>
      <c r="I135" s="44"/>
    </row>
    <row r="136" spans="4:9">
      <c r="D136" s="44"/>
      <c r="I136" s="44"/>
    </row>
    <row r="137" spans="4:9">
      <c r="D137" s="44"/>
      <c r="I137" s="44"/>
    </row>
    <row r="138" spans="4:9">
      <c r="D138" s="44"/>
      <c r="I138" s="44"/>
    </row>
    <row r="139" spans="4:9">
      <c r="D139" s="44"/>
      <c r="I139" s="44"/>
    </row>
    <row r="140" spans="4:9">
      <c r="D140" s="44"/>
      <c r="I140" s="44"/>
    </row>
    <row r="141" spans="4:9">
      <c r="D141" s="44"/>
      <c r="I141" s="44"/>
    </row>
    <row r="142" spans="4:9">
      <c r="D142" s="44"/>
      <c r="I142" s="44"/>
    </row>
    <row r="143" spans="4:9">
      <c r="D143" s="44"/>
      <c r="I143" s="44"/>
    </row>
    <row r="144" spans="4:9">
      <c r="D144" s="44"/>
      <c r="I144" s="44"/>
    </row>
    <row r="145" spans="4:9">
      <c r="D145" s="44"/>
      <c r="I145" s="44"/>
    </row>
    <row r="146" spans="4:9">
      <c r="D146" s="44"/>
      <c r="I146" s="44"/>
    </row>
    <row r="147" spans="4:9">
      <c r="D147" s="44"/>
      <c r="I147" s="44"/>
    </row>
    <row r="148" spans="4:9">
      <c r="D148" s="44"/>
      <c r="I148" s="44"/>
    </row>
    <row r="149" spans="4:9">
      <c r="D149" s="44"/>
      <c r="I149" s="44"/>
    </row>
    <row r="150" spans="4:9">
      <c r="D150" s="44"/>
      <c r="I150" s="44"/>
    </row>
    <row r="151" spans="4:9">
      <c r="D151" s="44"/>
      <c r="I151" s="44"/>
    </row>
    <row r="152" spans="4:9">
      <c r="D152" s="44"/>
      <c r="I152" s="44"/>
    </row>
    <row r="153" spans="4:9">
      <c r="D153" s="44"/>
      <c r="I153" s="44"/>
    </row>
    <row r="154" spans="4:9">
      <c r="D154" s="44"/>
      <c r="I154" s="44"/>
    </row>
    <row r="155" spans="4:9">
      <c r="D155" s="44"/>
      <c r="I155" s="44"/>
    </row>
    <row r="156" spans="4:9">
      <c r="D156" s="44"/>
      <c r="I156" s="44"/>
    </row>
    <row r="157" spans="4:9">
      <c r="D157" s="44"/>
      <c r="I157" s="44"/>
    </row>
    <row r="158" spans="4:9">
      <c r="D158" s="44"/>
      <c r="I158" s="44"/>
    </row>
    <row r="159" spans="4:9">
      <c r="D159" s="44"/>
      <c r="I159" s="44"/>
    </row>
    <row r="160" spans="4:9">
      <c r="D160" s="44"/>
      <c r="I160" s="44"/>
    </row>
    <row r="161" spans="4:9">
      <c r="D161" s="44"/>
      <c r="I161" s="44"/>
    </row>
    <row r="162" spans="4:9">
      <c r="D162" s="44"/>
      <c r="I162" s="44"/>
    </row>
    <row r="163" spans="4:9">
      <c r="D163" s="44"/>
      <c r="I163" s="44"/>
    </row>
    <row r="164" spans="4:9">
      <c r="D164" s="44"/>
      <c r="I164" s="44"/>
    </row>
    <row r="165" spans="4:9">
      <c r="D165" s="44"/>
      <c r="I165" s="44"/>
    </row>
    <row r="166" spans="4:9">
      <c r="D166" s="44"/>
      <c r="I166" s="44"/>
    </row>
    <row r="167" spans="4:9">
      <c r="D167" s="44"/>
      <c r="I167" s="44"/>
    </row>
    <row r="168" spans="4:9">
      <c r="D168" s="44"/>
      <c r="I168" s="44"/>
    </row>
    <row r="169" spans="4:9">
      <c r="D169" s="44"/>
      <c r="I169" s="44"/>
    </row>
    <row r="170" spans="4:9">
      <c r="D170" s="44"/>
      <c r="I170" s="44"/>
    </row>
    <row r="171" spans="4:9">
      <c r="D171" s="44"/>
      <c r="I171" s="44"/>
    </row>
    <row r="172" spans="4:9">
      <c r="D172" s="44"/>
      <c r="I172" s="44"/>
    </row>
    <row r="173" spans="4:9">
      <c r="D173" s="44"/>
      <c r="I173" s="44"/>
    </row>
    <row r="174" spans="4:9">
      <c r="D174" s="44"/>
      <c r="I174" s="44"/>
    </row>
    <row r="175" spans="4:9">
      <c r="D175" s="44"/>
      <c r="I175" s="44"/>
    </row>
    <row r="176" spans="4:9">
      <c r="D176" s="44"/>
      <c r="I176" s="44"/>
    </row>
    <row r="177" spans="4:9">
      <c r="D177" s="44"/>
      <c r="I177" s="44"/>
    </row>
    <row r="178" spans="4:9">
      <c r="D178" s="44"/>
      <c r="I178" s="44"/>
    </row>
    <row r="179" spans="4:9">
      <c r="D179" s="44"/>
      <c r="I179" s="44"/>
    </row>
    <row r="180" spans="4:9">
      <c r="D180" s="44"/>
      <c r="I180" s="44"/>
    </row>
    <row r="181" spans="4:9">
      <c r="D181" s="44"/>
      <c r="I181" s="44"/>
    </row>
    <row r="182" spans="4:9">
      <c r="D182" s="44"/>
      <c r="I182" s="44"/>
    </row>
    <row r="183" spans="4:9">
      <c r="D183" s="44"/>
      <c r="I183" s="44"/>
    </row>
    <row r="184" spans="4:9">
      <c r="D184" s="44"/>
      <c r="I184" s="44"/>
    </row>
    <row r="185" spans="4:9">
      <c r="D185" s="44"/>
      <c r="I185" s="44"/>
    </row>
    <row r="186" spans="4:9">
      <c r="D186" s="44"/>
      <c r="I186" s="44"/>
    </row>
    <row r="187" spans="4:9">
      <c r="D187" s="44"/>
      <c r="I187" s="44"/>
    </row>
    <row r="188" spans="4:9">
      <c r="D188" s="44"/>
      <c r="I188" s="44"/>
    </row>
    <row r="189" spans="4:9">
      <c r="D189" s="44"/>
      <c r="I189" s="44"/>
    </row>
    <row r="190" spans="4:9">
      <c r="D190" s="44"/>
      <c r="I190" s="44"/>
    </row>
    <row r="191" spans="4:9">
      <c r="D191" s="44"/>
      <c r="I191" s="44"/>
    </row>
    <row r="192" spans="4:9">
      <c r="D192" s="44"/>
      <c r="I192" s="44"/>
    </row>
    <row r="193" spans="4:9">
      <c r="D193" s="44"/>
      <c r="I193" s="44"/>
    </row>
    <row r="194" spans="4:9">
      <c r="D194" s="44"/>
      <c r="I194" s="44"/>
    </row>
    <row r="195" spans="4:9">
      <c r="D195" s="44"/>
      <c r="I195" s="44"/>
    </row>
    <row r="196" spans="4:9">
      <c r="D196" s="44"/>
      <c r="I196" s="44"/>
    </row>
    <row r="197" spans="4:9">
      <c r="D197" s="44"/>
      <c r="I197" s="44"/>
    </row>
    <row r="198" spans="4:9">
      <c r="D198" s="44"/>
      <c r="I198" s="44"/>
    </row>
    <row r="199" spans="4:9">
      <c r="D199" s="44"/>
      <c r="I199" s="44"/>
    </row>
    <row r="200" spans="4:9">
      <c r="D200" s="44"/>
      <c r="I200" s="44"/>
    </row>
    <row r="201" spans="4:9">
      <c r="D201" s="44"/>
      <c r="I201" s="44"/>
    </row>
    <row r="202" spans="4:9">
      <c r="D202" s="44"/>
      <c r="I202" s="44"/>
    </row>
    <row r="203" spans="4:9">
      <c r="D203" s="44"/>
      <c r="I203" s="44"/>
    </row>
    <row r="204" spans="4:9">
      <c r="D204" s="44"/>
      <c r="I204" s="44"/>
    </row>
    <row r="205" spans="4:9">
      <c r="D205" s="44"/>
      <c r="I205" s="44"/>
    </row>
    <row r="206" spans="4:9">
      <c r="D206" s="44"/>
      <c r="I206" s="44"/>
    </row>
    <row r="207" spans="4:9">
      <c r="D207" s="44"/>
      <c r="I207" s="44"/>
    </row>
    <row r="208" spans="4:9">
      <c r="D208" s="44"/>
      <c r="I208" s="44"/>
    </row>
    <row r="209" spans="4:9">
      <c r="D209" s="44"/>
      <c r="I209" s="44"/>
    </row>
    <row r="210" spans="4:9">
      <c r="D210" s="44"/>
      <c r="I210" s="44"/>
    </row>
    <row r="211" spans="4:9">
      <c r="D211" s="44"/>
      <c r="I211" s="44"/>
    </row>
    <row r="212" spans="4:9">
      <c r="D212" s="44"/>
      <c r="I212" s="44"/>
    </row>
    <row r="213" spans="4:9">
      <c r="D213" s="44"/>
      <c r="I213" s="44"/>
    </row>
    <row r="214" spans="4:9">
      <c r="D214" s="44"/>
      <c r="I214" s="44"/>
    </row>
    <row r="215" spans="4:9">
      <c r="D215" s="44"/>
      <c r="I215" s="44"/>
    </row>
    <row r="216" spans="4:9">
      <c r="D216" s="44"/>
      <c r="I216" s="44"/>
    </row>
    <row r="217" spans="4:9">
      <c r="D217" s="44"/>
      <c r="I217" s="44"/>
    </row>
    <row r="218" spans="4:9">
      <c r="D218" s="44"/>
      <c r="I218" s="44"/>
    </row>
    <row r="219" spans="4:9">
      <c r="D219" s="44"/>
      <c r="I219" s="44"/>
    </row>
    <row r="220" spans="4:9">
      <c r="D220" s="44"/>
      <c r="I220" s="44"/>
    </row>
    <row r="221" spans="4:9">
      <c r="D221" s="44"/>
      <c r="I221" s="44"/>
    </row>
    <row r="222" spans="4:9">
      <c r="D222" s="44"/>
      <c r="I222" s="44"/>
    </row>
    <row r="223" spans="4:9">
      <c r="D223" s="44"/>
      <c r="I223" s="44"/>
    </row>
    <row r="224" spans="4:9">
      <c r="D224" s="44"/>
      <c r="I224" s="44"/>
    </row>
    <row r="225" spans="4:9">
      <c r="D225" s="44"/>
      <c r="I225" s="44"/>
    </row>
    <row r="226" spans="4:9">
      <c r="D226" s="44"/>
      <c r="I226" s="44"/>
    </row>
    <row r="227" spans="4:9">
      <c r="D227" s="44"/>
      <c r="I227" s="44"/>
    </row>
    <row r="228" spans="4:9">
      <c r="D228" s="44"/>
      <c r="I228" s="44"/>
    </row>
    <row r="229" spans="4:9">
      <c r="D229" s="44"/>
      <c r="I229" s="44"/>
    </row>
    <row r="230" spans="4:9">
      <c r="D230" s="44"/>
      <c r="I230" s="44"/>
    </row>
    <row r="231" spans="4:9">
      <c r="D231" s="44"/>
      <c r="I231" s="44"/>
    </row>
    <row r="232" spans="4:9">
      <c r="D232" s="44"/>
      <c r="I232" s="44"/>
    </row>
    <row r="233" spans="4:9">
      <c r="D233" s="44"/>
      <c r="I233" s="44"/>
    </row>
    <row r="234" spans="4:9">
      <c r="D234" s="44"/>
      <c r="I234" s="44"/>
    </row>
    <row r="235" spans="4:9">
      <c r="D235" s="44"/>
      <c r="I235" s="44"/>
    </row>
    <row r="236" spans="4:9">
      <c r="D236" s="44"/>
      <c r="I236" s="44"/>
    </row>
    <row r="237" spans="4:9">
      <c r="D237" s="44"/>
      <c r="I237" s="44"/>
    </row>
    <row r="238" spans="4:9">
      <c r="D238" s="44"/>
      <c r="I238" s="44"/>
    </row>
    <row r="239" spans="4:9">
      <c r="D239" s="44"/>
      <c r="I239" s="44"/>
    </row>
    <row r="240" spans="4:9">
      <c r="D240" s="44"/>
      <c r="I240" s="44"/>
    </row>
    <row r="241" spans="4:9">
      <c r="D241" s="44"/>
      <c r="I241" s="44"/>
    </row>
    <row r="242" spans="4:9">
      <c r="D242" s="44"/>
      <c r="I242" s="44"/>
    </row>
    <row r="243" spans="4:9">
      <c r="D243" s="44"/>
      <c r="I243" s="44"/>
    </row>
    <row r="244" spans="4:9">
      <c r="D244" s="44"/>
      <c r="I244" s="44"/>
    </row>
    <row r="245" spans="4:9">
      <c r="D245" s="44"/>
      <c r="I245" s="44"/>
    </row>
    <row r="246" spans="4:9">
      <c r="D246" s="44"/>
      <c r="I246" s="44"/>
    </row>
    <row r="247" spans="4:9">
      <c r="D247" s="44"/>
      <c r="I247" s="44"/>
    </row>
    <row r="248" spans="4:9">
      <c r="D248" s="44"/>
      <c r="I248" s="44"/>
    </row>
    <row r="249" spans="4:9">
      <c r="D249" s="44"/>
      <c r="I249" s="44"/>
    </row>
    <row r="250" spans="4:9">
      <c r="D250" s="44"/>
      <c r="I250" s="44"/>
    </row>
    <row r="251" spans="4:9">
      <c r="D251" s="44"/>
      <c r="I251" s="44"/>
    </row>
    <row r="252" spans="4:9">
      <c r="D252" s="44"/>
      <c r="I252" s="44"/>
    </row>
    <row r="253" spans="4:9">
      <c r="D253" s="44"/>
      <c r="I253" s="44"/>
    </row>
    <row r="254" spans="4:9">
      <c r="D254" s="44"/>
      <c r="I254" s="44"/>
    </row>
    <row r="255" spans="4:9">
      <c r="D255" s="44"/>
      <c r="I255" s="44"/>
    </row>
    <row r="256" spans="4:9">
      <c r="D256" s="44"/>
      <c r="I256" s="44"/>
    </row>
    <row r="257" spans="4:9">
      <c r="D257" s="44"/>
      <c r="I257" s="44"/>
    </row>
    <row r="258" spans="4:9">
      <c r="D258" s="44"/>
      <c r="I258" s="44"/>
    </row>
    <row r="259" spans="4:9">
      <c r="D259" s="44"/>
      <c r="I259" s="44"/>
    </row>
    <row r="260" spans="4:9">
      <c r="D260" s="44"/>
      <c r="I260" s="44"/>
    </row>
    <row r="261" spans="4:9">
      <c r="D261" s="44"/>
      <c r="I261" s="44"/>
    </row>
    <row r="262" spans="4:9">
      <c r="D262" s="44"/>
      <c r="I262" s="44"/>
    </row>
    <row r="263" spans="4:9">
      <c r="D263" s="44"/>
      <c r="I263" s="44"/>
    </row>
    <row r="264" spans="4:9">
      <c r="D264" s="44"/>
      <c r="I264" s="44"/>
    </row>
    <row r="265" spans="4:9">
      <c r="D265" s="44"/>
      <c r="I265" s="44"/>
    </row>
    <row r="266" spans="4:9">
      <c r="D266" s="44"/>
      <c r="I266" s="44"/>
    </row>
    <row r="267" spans="4:9">
      <c r="D267" s="44"/>
      <c r="I267" s="44"/>
    </row>
    <row r="268" spans="4:9">
      <c r="D268" s="44"/>
      <c r="I268" s="44"/>
    </row>
    <row r="269" spans="4:9">
      <c r="D269" s="44"/>
      <c r="I269" s="44"/>
    </row>
    <row r="270" spans="4:9">
      <c r="D270" s="44"/>
      <c r="I270" s="44"/>
    </row>
    <row r="271" spans="4:9">
      <c r="D271" s="44"/>
      <c r="I271" s="44"/>
    </row>
    <row r="272" spans="4:9">
      <c r="D272" s="44"/>
      <c r="I272" s="44"/>
    </row>
    <row r="273" spans="4:9">
      <c r="D273" s="44"/>
      <c r="I273" s="44"/>
    </row>
    <row r="274" spans="4:9">
      <c r="D274" s="44"/>
      <c r="I274" s="44"/>
    </row>
    <row r="275" spans="4:9">
      <c r="D275" s="44"/>
      <c r="I275" s="44"/>
    </row>
    <row r="276" spans="4:9">
      <c r="D276" s="44"/>
      <c r="I276" s="44"/>
    </row>
    <row r="277" spans="4:9">
      <c r="D277" s="44"/>
      <c r="I277" s="44"/>
    </row>
    <row r="278" spans="4:9">
      <c r="D278" s="44"/>
      <c r="I278" s="44"/>
    </row>
    <row r="279" spans="4:9">
      <c r="D279" s="44"/>
      <c r="I279" s="44"/>
    </row>
    <row r="280" spans="4:9">
      <c r="D280" s="44"/>
      <c r="I280" s="44"/>
    </row>
    <row r="281" spans="4:9">
      <c r="D281" s="44"/>
      <c r="I281" s="44"/>
    </row>
    <row r="282" spans="4:9">
      <c r="D282" s="44"/>
      <c r="I282" s="44"/>
    </row>
    <row r="283" spans="4:9">
      <c r="D283" s="44"/>
      <c r="I283" s="44"/>
    </row>
    <row r="284" spans="4:9">
      <c r="D284" s="44"/>
      <c r="I284" s="44"/>
    </row>
    <row r="285" spans="4:9">
      <c r="D285" s="44"/>
      <c r="I285" s="44"/>
    </row>
    <row r="286" spans="4:9">
      <c r="D286" s="44"/>
      <c r="I286" s="44"/>
    </row>
    <row r="287" spans="4:9">
      <c r="D287" s="44"/>
      <c r="I287" s="44"/>
    </row>
    <row r="288" spans="4:9">
      <c r="D288" s="44"/>
      <c r="I288" s="44"/>
    </row>
    <row r="289" spans="4:9">
      <c r="D289" s="44"/>
      <c r="I289" s="44"/>
    </row>
    <row r="290" spans="4:9">
      <c r="D290" s="44"/>
      <c r="I290" s="44"/>
    </row>
    <row r="291" spans="4:9">
      <c r="D291" s="44"/>
      <c r="I291" s="44"/>
    </row>
    <row r="292" spans="4:9">
      <c r="D292" s="44"/>
      <c r="I292" s="44"/>
    </row>
    <row r="293" spans="4:9">
      <c r="D293" s="44"/>
      <c r="I293" s="44"/>
    </row>
    <row r="294" spans="4:9">
      <c r="D294" s="44"/>
      <c r="I294" s="44"/>
    </row>
    <row r="295" spans="4:9">
      <c r="D295" s="44"/>
      <c r="I295" s="44"/>
    </row>
    <row r="296" spans="4:9">
      <c r="D296" s="44"/>
      <c r="I296" s="44"/>
    </row>
    <row r="297" spans="4:9">
      <c r="D297" s="44"/>
      <c r="I297" s="44"/>
    </row>
    <row r="298" spans="4:9">
      <c r="D298" s="44"/>
      <c r="I298" s="44"/>
    </row>
    <row r="299" spans="4:9">
      <c r="D299" s="44"/>
      <c r="I299" s="44"/>
    </row>
    <row r="300" spans="4:9">
      <c r="D300" s="44"/>
      <c r="I300" s="44"/>
    </row>
    <row r="301" spans="4:9">
      <c r="D301" s="44"/>
      <c r="I301" s="44"/>
    </row>
    <row r="302" spans="4:9">
      <c r="D302" s="44"/>
      <c r="I302" s="44"/>
    </row>
    <row r="303" spans="4:9">
      <c r="D303" s="44"/>
      <c r="I303" s="44"/>
    </row>
    <row r="304" spans="4:9">
      <c r="D304" s="44"/>
      <c r="I304" s="44"/>
    </row>
    <row r="305" spans="4:9">
      <c r="D305" s="44"/>
      <c r="I305" s="44"/>
    </row>
    <row r="306" spans="4:9">
      <c r="D306" s="44"/>
      <c r="I306" s="44"/>
    </row>
    <row r="307" spans="4:9">
      <c r="D307" s="44"/>
      <c r="I307" s="44"/>
    </row>
    <row r="308" spans="4:9">
      <c r="D308" s="44"/>
      <c r="I308" s="44"/>
    </row>
    <row r="309" spans="4:9">
      <c r="D309" s="44"/>
      <c r="I309" s="44"/>
    </row>
    <row r="310" spans="4:9">
      <c r="D310" s="44"/>
      <c r="I310" s="44"/>
    </row>
    <row r="311" spans="4:9">
      <c r="D311" s="44"/>
      <c r="I311" s="44"/>
    </row>
    <row r="312" spans="4:9">
      <c r="D312" s="44"/>
      <c r="I312" s="44"/>
    </row>
    <row r="313" spans="4:9">
      <c r="D313" s="44"/>
      <c r="I313" s="44"/>
    </row>
    <row r="314" spans="4:9">
      <c r="D314" s="44"/>
      <c r="I314" s="44"/>
    </row>
    <row r="315" spans="4:9">
      <c r="D315" s="44"/>
      <c r="I315" s="44"/>
    </row>
    <row r="316" spans="4:9">
      <c r="D316" s="44"/>
      <c r="I316" s="44"/>
    </row>
    <row r="317" spans="4:9">
      <c r="D317" s="44"/>
      <c r="I317" s="44"/>
    </row>
    <row r="318" spans="4:9">
      <c r="D318" s="44"/>
      <c r="I318" s="44"/>
    </row>
    <row r="319" spans="4:9">
      <c r="D319" s="44"/>
      <c r="I319" s="44"/>
    </row>
    <row r="320" spans="4:9">
      <c r="D320" s="44"/>
      <c r="I320" s="44"/>
    </row>
    <row r="321" spans="4:9">
      <c r="D321" s="44"/>
      <c r="I321" s="44"/>
    </row>
    <row r="322" spans="4:9">
      <c r="D322" s="44"/>
      <c r="I322" s="44"/>
    </row>
    <row r="323" spans="4:9">
      <c r="D323" s="44"/>
      <c r="I323" s="44"/>
    </row>
    <row r="324" spans="4:9">
      <c r="D324" s="44"/>
      <c r="I324" s="44"/>
    </row>
    <row r="325" spans="4:9">
      <c r="D325" s="44"/>
      <c r="I325" s="44"/>
    </row>
    <row r="326" spans="4:9">
      <c r="D326" s="44"/>
      <c r="I326" s="44"/>
    </row>
    <row r="327" spans="4:9">
      <c r="D327" s="44"/>
      <c r="I327" s="44"/>
    </row>
    <row r="328" spans="4:9">
      <c r="D328" s="44"/>
      <c r="I328" s="44"/>
    </row>
    <row r="329" spans="4:9">
      <c r="D329" s="44"/>
      <c r="I329" s="44"/>
    </row>
    <row r="330" spans="4:9">
      <c r="D330" s="44"/>
      <c r="I330" s="44"/>
    </row>
    <row r="331" spans="4:9">
      <c r="D331" s="44"/>
      <c r="I331" s="44"/>
    </row>
    <row r="332" spans="4:9">
      <c r="D332" s="44"/>
      <c r="I332" s="44"/>
    </row>
    <row r="333" spans="4:9">
      <c r="D333" s="44"/>
      <c r="I333" s="44"/>
    </row>
    <row r="334" spans="4:9">
      <c r="D334" s="44"/>
      <c r="I334" s="44"/>
    </row>
    <row r="335" spans="4:9">
      <c r="D335" s="44"/>
      <c r="I335" s="44"/>
    </row>
    <row r="336" spans="4:9">
      <c r="D336" s="44"/>
      <c r="I336" s="44"/>
    </row>
    <row r="337" spans="4:9">
      <c r="D337" s="44"/>
      <c r="I337" s="44"/>
    </row>
    <row r="338" spans="4:9">
      <c r="D338" s="44"/>
      <c r="I338" s="44"/>
    </row>
    <row r="339" spans="4:9">
      <c r="D339" s="44"/>
      <c r="I339" s="44"/>
    </row>
    <row r="340" spans="4:9">
      <c r="D340" s="44"/>
      <c r="I340" s="44"/>
    </row>
    <row r="341" spans="4:9">
      <c r="D341" s="44"/>
      <c r="I341" s="44"/>
    </row>
    <row r="342" spans="4:9">
      <c r="D342" s="44"/>
      <c r="I342" s="44"/>
    </row>
    <row r="343" spans="4:9">
      <c r="D343" s="44"/>
      <c r="I343" s="44"/>
    </row>
    <row r="344" spans="4:9">
      <c r="D344" s="44"/>
      <c r="I344" s="44"/>
    </row>
    <row r="345" spans="4:9">
      <c r="D345" s="44"/>
      <c r="I345" s="44"/>
    </row>
    <row r="346" spans="4:9">
      <c r="D346" s="44"/>
      <c r="I346" s="44"/>
    </row>
    <row r="347" spans="4:9">
      <c r="D347" s="44"/>
      <c r="I347" s="44"/>
    </row>
    <row r="348" spans="4:9">
      <c r="D348" s="44"/>
      <c r="I348" s="44"/>
    </row>
    <row r="349" spans="4:9">
      <c r="D349" s="44"/>
      <c r="I349" s="44"/>
    </row>
    <row r="350" spans="4:9">
      <c r="D350" s="44"/>
      <c r="I350" s="44"/>
    </row>
    <row r="351" spans="4:9">
      <c r="D351" s="44"/>
      <c r="I351" s="44"/>
    </row>
    <row r="352" spans="4:9">
      <c r="D352" s="44"/>
      <c r="I352" s="44"/>
    </row>
    <row r="353" spans="4:9">
      <c r="D353" s="44"/>
      <c r="I353" s="44"/>
    </row>
    <row r="354" spans="4:9">
      <c r="D354" s="44"/>
      <c r="I354" s="44"/>
    </row>
    <row r="355" spans="4:9">
      <c r="D355" s="44"/>
      <c r="I355" s="44"/>
    </row>
    <row r="356" spans="4:9">
      <c r="D356" s="44"/>
      <c r="I356" s="44"/>
    </row>
    <row r="357" spans="4:9">
      <c r="D357" s="44"/>
      <c r="I357" s="44"/>
    </row>
    <row r="358" spans="4:9">
      <c r="D358" s="44"/>
      <c r="I358" s="44"/>
    </row>
    <row r="359" spans="4:9">
      <c r="D359" s="44"/>
      <c r="I359" s="44"/>
    </row>
    <row r="360" spans="4:9">
      <c r="D360" s="44"/>
      <c r="I360" s="44"/>
    </row>
    <row r="361" spans="4:9">
      <c r="D361" s="44"/>
      <c r="I361" s="44"/>
    </row>
    <row r="362" spans="4:9">
      <c r="D362" s="44"/>
      <c r="I362" s="44"/>
    </row>
    <row r="363" spans="4:9">
      <c r="D363" s="44"/>
      <c r="I363" s="44"/>
    </row>
    <row r="364" spans="4:9">
      <c r="D364" s="44"/>
      <c r="I364" s="44"/>
    </row>
    <row r="365" spans="4:9">
      <c r="D365" s="44"/>
      <c r="I365" s="44"/>
    </row>
    <row r="366" spans="4:9">
      <c r="D366" s="44"/>
      <c r="I366" s="44"/>
    </row>
    <row r="367" spans="4:9">
      <c r="D367" s="44"/>
      <c r="I367" s="44"/>
    </row>
    <row r="368" spans="4:9">
      <c r="D368" s="44"/>
      <c r="I368" s="44"/>
    </row>
    <row r="369" spans="4:9">
      <c r="D369" s="44"/>
      <c r="I369" s="44"/>
    </row>
    <row r="370" spans="4:9">
      <c r="D370" s="44"/>
      <c r="I370" s="44"/>
    </row>
    <row r="371" spans="4:9">
      <c r="D371" s="44"/>
      <c r="I371" s="44"/>
    </row>
    <row r="372" spans="4:9">
      <c r="D372" s="44"/>
      <c r="I372" s="44"/>
    </row>
    <row r="373" spans="4:9">
      <c r="D373" s="44"/>
      <c r="I373" s="44"/>
    </row>
    <row r="374" spans="4:9">
      <c r="D374" s="44"/>
      <c r="I374" s="44"/>
    </row>
    <row r="375" spans="4:9">
      <c r="D375" s="44"/>
      <c r="I375" s="44"/>
    </row>
    <row r="376" spans="4:9">
      <c r="D376" s="44"/>
      <c r="I376" s="44"/>
    </row>
    <row r="377" spans="4:9">
      <c r="D377" s="44"/>
      <c r="I377" s="44"/>
    </row>
    <row r="378" spans="4:9">
      <c r="D378" s="44"/>
      <c r="I378" s="44"/>
    </row>
    <row r="379" spans="4:9">
      <c r="D379" s="44"/>
      <c r="I379" s="44"/>
    </row>
    <row r="380" spans="4:9">
      <c r="D380" s="44"/>
      <c r="I380" s="44"/>
    </row>
    <row r="381" spans="4:9">
      <c r="D381" s="44"/>
      <c r="I381" s="44"/>
    </row>
    <row r="382" spans="4:9">
      <c r="D382" s="44"/>
      <c r="I382" s="44"/>
    </row>
    <row r="383" spans="4:9">
      <c r="D383" s="44"/>
      <c r="I383" s="44"/>
    </row>
    <row r="384" spans="4:9">
      <c r="D384" s="44"/>
      <c r="I384" s="44"/>
    </row>
    <row r="385" spans="4:9">
      <c r="D385" s="44"/>
      <c r="I385" s="44"/>
    </row>
    <row r="386" spans="4:9">
      <c r="D386" s="44"/>
      <c r="I386" s="44"/>
    </row>
    <row r="387" spans="4:9">
      <c r="D387" s="44"/>
      <c r="I387" s="44"/>
    </row>
    <row r="388" spans="4:9">
      <c r="D388" s="44"/>
      <c r="I388" s="44"/>
    </row>
    <row r="389" spans="4:9">
      <c r="D389" s="44"/>
      <c r="I389" s="44"/>
    </row>
    <row r="390" spans="4:9">
      <c r="D390" s="44"/>
      <c r="I390" s="44"/>
    </row>
    <row r="391" spans="4:9">
      <c r="D391" s="44"/>
      <c r="I391" s="44"/>
    </row>
    <row r="392" spans="4:9">
      <c r="D392" s="44"/>
      <c r="I392" s="44"/>
    </row>
    <row r="393" spans="4:9">
      <c r="D393" s="44"/>
      <c r="I393" s="44"/>
    </row>
    <row r="394" spans="4:9">
      <c r="D394" s="44"/>
      <c r="I394" s="44"/>
    </row>
    <row r="395" spans="4:9">
      <c r="D395" s="44"/>
      <c r="I395" s="44"/>
    </row>
    <row r="396" spans="4:9">
      <c r="D396" s="44"/>
      <c r="I396" s="44"/>
    </row>
    <row r="397" spans="4:9">
      <c r="D397" s="44"/>
      <c r="I397" s="44"/>
    </row>
    <row r="398" spans="4:9">
      <c r="D398" s="44"/>
      <c r="I398" s="44"/>
    </row>
    <row r="399" spans="4:9">
      <c r="D399" s="44"/>
      <c r="I399" s="44"/>
    </row>
    <row r="400" spans="4:9">
      <c r="D400" s="44"/>
      <c r="I400" s="44"/>
    </row>
    <row r="401" spans="4:9">
      <c r="D401" s="44"/>
      <c r="I401" s="44"/>
    </row>
    <row r="402" spans="4:9">
      <c r="D402" s="44"/>
      <c r="I402" s="44"/>
    </row>
    <row r="403" spans="4:9">
      <c r="D403" s="44"/>
      <c r="I403" s="44"/>
    </row>
    <row r="404" spans="4:9">
      <c r="D404" s="44"/>
      <c r="I404" s="44"/>
    </row>
    <row r="405" spans="4:9">
      <c r="D405" s="44"/>
      <c r="I405" s="44"/>
    </row>
    <row r="406" spans="4:9">
      <c r="D406" s="44"/>
      <c r="I406" s="44"/>
    </row>
    <row r="407" spans="4:9">
      <c r="D407" s="44"/>
      <c r="I407" s="44"/>
    </row>
    <row r="408" spans="4:9">
      <c r="D408" s="44"/>
      <c r="I408" s="44"/>
    </row>
    <row r="409" spans="4:9">
      <c r="D409" s="44"/>
      <c r="I409" s="44"/>
    </row>
    <row r="410" spans="4:9">
      <c r="D410" s="44"/>
      <c r="I410" s="44"/>
    </row>
    <row r="411" spans="4:9">
      <c r="D411" s="44"/>
      <c r="I411" s="44"/>
    </row>
    <row r="412" spans="4:9">
      <c r="D412" s="44"/>
      <c r="I412" s="44"/>
    </row>
    <row r="413" spans="4:9">
      <c r="D413" s="44"/>
      <c r="I413" s="44"/>
    </row>
    <row r="414" spans="4:9">
      <c r="D414" s="44"/>
      <c r="I414" s="44"/>
    </row>
    <row r="415" spans="4:9">
      <c r="D415" s="44"/>
      <c r="I415" s="44"/>
    </row>
    <row r="416" spans="4:9">
      <c r="D416" s="44"/>
      <c r="I416" s="44"/>
    </row>
    <row r="417" spans="4:9">
      <c r="D417" s="44"/>
      <c r="I417" s="44"/>
    </row>
    <row r="418" spans="4:9">
      <c r="D418" s="44"/>
      <c r="I418" s="44"/>
    </row>
    <row r="419" spans="4:9">
      <c r="D419" s="44"/>
      <c r="I419" s="44"/>
    </row>
    <row r="420" spans="4:9">
      <c r="D420" s="44"/>
      <c r="I420" s="44"/>
    </row>
    <row r="421" spans="4:9">
      <c r="D421" s="44"/>
      <c r="I421" s="44"/>
    </row>
    <row r="422" spans="4:9">
      <c r="D422" s="44"/>
      <c r="I422" s="44"/>
    </row>
    <row r="423" spans="4:9">
      <c r="D423" s="44"/>
      <c r="I423" s="44"/>
    </row>
    <row r="424" spans="4:9">
      <c r="D424" s="44"/>
      <c r="I424" s="44"/>
    </row>
    <row r="425" spans="4:9">
      <c r="D425" s="44"/>
      <c r="I425" s="44"/>
    </row>
    <row r="426" spans="4:9">
      <c r="D426" s="44"/>
      <c r="I426" s="44"/>
    </row>
    <row r="427" spans="4:9">
      <c r="D427" s="44"/>
      <c r="I427" s="44"/>
    </row>
    <row r="428" spans="4:9">
      <c r="D428" s="44"/>
      <c r="I428" s="44"/>
    </row>
    <row r="429" spans="4:9">
      <c r="D429" s="44"/>
      <c r="I429" s="44"/>
    </row>
    <row r="430" spans="4:9">
      <c r="D430" s="44"/>
      <c r="I430" s="44"/>
    </row>
    <row r="431" spans="4:9">
      <c r="D431" s="44"/>
      <c r="I431" s="44"/>
    </row>
    <row r="432" spans="4:9">
      <c r="D432" s="44"/>
      <c r="I432" s="44"/>
    </row>
    <row r="433" spans="4:9">
      <c r="D433" s="44"/>
      <c r="I433" s="44"/>
    </row>
    <row r="434" spans="4:9">
      <c r="D434" s="44"/>
      <c r="I434" s="44"/>
    </row>
    <row r="435" spans="4:9">
      <c r="D435" s="44"/>
      <c r="I435" s="44"/>
    </row>
    <row r="436" spans="4:9">
      <c r="D436" s="44"/>
      <c r="I436" s="44"/>
    </row>
    <row r="437" spans="4:9">
      <c r="D437" s="44"/>
      <c r="I437" s="44"/>
    </row>
    <row r="438" spans="4:9">
      <c r="D438" s="44"/>
      <c r="I438" s="44"/>
    </row>
    <row r="439" spans="4:9">
      <c r="D439" s="44"/>
      <c r="I439" s="44"/>
    </row>
    <row r="440" spans="4:9">
      <c r="D440" s="44"/>
      <c r="I440" s="44"/>
    </row>
    <row r="441" spans="4:9">
      <c r="D441" s="44"/>
      <c r="I441" s="44"/>
    </row>
    <row r="442" spans="4:9">
      <c r="D442" s="44"/>
      <c r="I442" s="44"/>
    </row>
    <row r="443" spans="4:9">
      <c r="D443" s="44"/>
      <c r="I443" s="44"/>
    </row>
    <row r="444" spans="4:9">
      <c r="D444" s="44"/>
      <c r="I444" s="44"/>
    </row>
    <row r="445" spans="4:9">
      <c r="D445" s="44"/>
      <c r="I445" s="44"/>
    </row>
    <row r="446" spans="4:9">
      <c r="D446" s="44"/>
      <c r="I446" s="44"/>
    </row>
    <row r="447" spans="4:9">
      <c r="D447" s="44"/>
      <c r="I447" s="44"/>
    </row>
    <row r="448" spans="4:9">
      <c r="D448" s="44"/>
      <c r="I448" s="44"/>
    </row>
    <row r="449" spans="4:9">
      <c r="D449" s="44"/>
      <c r="I449" s="44"/>
    </row>
    <row r="450" spans="4:9">
      <c r="D450" s="44"/>
      <c r="I450" s="44"/>
    </row>
    <row r="451" spans="4:9">
      <c r="D451" s="44"/>
      <c r="I451" s="44"/>
    </row>
    <row r="452" spans="4:9">
      <c r="D452" s="44"/>
      <c r="I452" s="44"/>
    </row>
    <row r="453" spans="4:9">
      <c r="D453" s="44"/>
      <c r="I453" s="44"/>
    </row>
    <row r="454" spans="4:9">
      <c r="D454" s="44"/>
      <c r="I454" s="44"/>
    </row>
    <row r="455" spans="4:9">
      <c r="D455" s="44"/>
      <c r="I455" s="44"/>
    </row>
    <row r="456" spans="4:9">
      <c r="D456" s="44"/>
      <c r="I456" s="44"/>
    </row>
    <row r="457" spans="4:9">
      <c r="D457" s="44"/>
      <c r="I457" s="44"/>
    </row>
    <row r="458" spans="4:9">
      <c r="D458" s="44"/>
      <c r="I458" s="44"/>
    </row>
    <row r="459" spans="4:9">
      <c r="D459" s="44"/>
      <c r="I459" s="44"/>
    </row>
    <row r="460" spans="4:9">
      <c r="D460" s="44"/>
      <c r="I460" s="44"/>
    </row>
    <row r="461" spans="4:9">
      <c r="D461" s="44"/>
      <c r="I461" s="44"/>
    </row>
    <row r="462" spans="4:9">
      <c r="D462" s="44"/>
      <c r="I462" s="44"/>
    </row>
    <row r="463" spans="4:9">
      <c r="D463" s="44"/>
      <c r="I463" s="44"/>
    </row>
    <row r="464" spans="4:9">
      <c r="D464" s="44"/>
      <c r="I464" s="44"/>
    </row>
    <row r="465" spans="4:9">
      <c r="D465" s="44"/>
      <c r="I465" s="44"/>
    </row>
    <row r="466" spans="4:9">
      <c r="D466" s="44"/>
      <c r="I466" s="44"/>
    </row>
    <row r="467" spans="4:9">
      <c r="D467" s="44"/>
      <c r="I467" s="44"/>
    </row>
    <row r="468" spans="4:9">
      <c r="D468" s="44"/>
      <c r="I468" s="44"/>
    </row>
    <row r="469" spans="4:9">
      <c r="D469" s="44"/>
      <c r="I469" s="44"/>
    </row>
    <row r="470" spans="4:9">
      <c r="D470" s="44"/>
      <c r="I470" s="44"/>
    </row>
    <row r="471" spans="4:9">
      <c r="D471" s="44"/>
      <c r="I471" s="44"/>
    </row>
    <row r="472" spans="4:9">
      <c r="D472" s="44"/>
      <c r="I472" s="44"/>
    </row>
    <row r="473" spans="4:9">
      <c r="D473" s="44"/>
      <c r="I473" s="44"/>
    </row>
    <row r="474" spans="4:9">
      <c r="D474" s="44"/>
      <c r="I474" s="44"/>
    </row>
    <row r="475" spans="4:9">
      <c r="D475" s="44"/>
      <c r="I475" s="44"/>
    </row>
    <row r="476" spans="4:9">
      <c r="D476" s="44"/>
      <c r="I476" s="44"/>
    </row>
    <row r="477" spans="4:9">
      <c r="D477" s="44"/>
      <c r="I477" s="44"/>
    </row>
    <row r="478" spans="4:9">
      <c r="D478" s="44"/>
      <c r="I478" s="44"/>
    </row>
    <row r="479" spans="4:9">
      <c r="D479" s="44"/>
      <c r="I479" s="44"/>
    </row>
    <row r="480" spans="4:9">
      <c r="D480" s="44"/>
      <c r="I480" s="44"/>
    </row>
    <row r="481" spans="4:9">
      <c r="D481" s="44"/>
      <c r="I481" s="44"/>
    </row>
    <row r="482" spans="4:9">
      <c r="D482" s="44"/>
      <c r="I482" s="44"/>
    </row>
    <row r="483" spans="4:9">
      <c r="D483" s="44"/>
      <c r="I483" s="44"/>
    </row>
    <row r="484" spans="4:9">
      <c r="D484" s="44"/>
      <c r="I484" s="44"/>
    </row>
    <row r="485" spans="4:9">
      <c r="D485" s="44"/>
      <c r="I485" s="44"/>
    </row>
    <row r="486" spans="4:9">
      <c r="D486" s="44"/>
      <c r="I486" s="44"/>
    </row>
    <row r="487" spans="4:9">
      <c r="D487" s="44"/>
      <c r="I487" s="44"/>
    </row>
    <row r="488" spans="4:9">
      <c r="D488" s="44"/>
      <c r="I488" s="44"/>
    </row>
    <row r="489" spans="4:9">
      <c r="D489" s="44"/>
      <c r="I489" s="44"/>
    </row>
    <row r="490" spans="4:9">
      <c r="D490" s="44"/>
      <c r="I490" s="44"/>
    </row>
    <row r="491" spans="4:9">
      <c r="D491" s="44"/>
      <c r="I491" s="44"/>
    </row>
    <row r="492" spans="4:9">
      <c r="D492" s="44"/>
      <c r="I492" s="44"/>
    </row>
    <row r="493" spans="4:9">
      <c r="D493" s="44"/>
      <c r="I493" s="44"/>
    </row>
    <row r="494" spans="4:9">
      <c r="D494" s="44"/>
      <c r="I494" s="44"/>
    </row>
    <row r="495" spans="4:9">
      <c r="D495" s="44"/>
      <c r="I495" s="44"/>
    </row>
    <row r="496" spans="4:9">
      <c r="D496" s="44"/>
      <c r="I496" s="44"/>
    </row>
    <row r="497" spans="4:9">
      <c r="D497" s="44"/>
      <c r="I497" s="44"/>
    </row>
    <row r="498" spans="4:9">
      <c r="D498" s="44"/>
      <c r="I498" s="44"/>
    </row>
    <row r="499" spans="4:9">
      <c r="D499" s="44"/>
      <c r="I499" s="44"/>
    </row>
    <row r="500" spans="4:9">
      <c r="D500" s="44"/>
      <c r="I500" s="44"/>
    </row>
    <row r="501" spans="4:9">
      <c r="D501" s="44"/>
      <c r="I501" s="44"/>
    </row>
    <row r="502" spans="4:9">
      <c r="D502" s="44"/>
      <c r="I502" s="44"/>
    </row>
    <row r="503" spans="4:9">
      <c r="D503" s="44"/>
      <c r="I503" s="44"/>
    </row>
    <row r="504" spans="4:9">
      <c r="D504" s="44"/>
      <c r="I504" s="44"/>
    </row>
    <row r="505" spans="4:9">
      <c r="D505" s="44"/>
      <c r="I505" s="44"/>
    </row>
    <row r="506" spans="4:9">
      <c r="D506" s="44"/>
      <c r="I506" s="44"/>
    </row>
    <row r="507" spans="4:9">
      <c r="D507" s="44"/>
      <c r="I507" s="44"/>
    </row>
    <row r="508" spans="4:9">
      <c r="D508" s="44"/>
      <c r="I508" s="44"/>
    </row>
    <row r="509" spans="4:9">
      <c r="D509" s="44"/>
      <c r="I509" s="44"/>
    </row>
    <row r="510" spans="4:9">
      <c r="D510" s="44"/>
      <c r="I510" s="44"/>
    </row>
    <row r="511" spans="4:9">
      <c r="D511" s="44"/>
      <c r="I511" s="44"/>
    </row>
    <row r="512" spans="4:9">
      <c r="D512" s="44"/>
      <c r="I512" s="44"/>
    </row>
    <row r="513" spans="4:9">
      <c r="D513" s="44"/>
      <c r="I513" s="44"/>
    </row>
    <row r="514" spans="4:9">
      <c r="D514" s="44"/>
      <c r="I514" s="44"/>
    </row>
    <row r="515" spans="4:9">
      <c r="D515" s="44"/>
      <c r="I515" s="44"/>
    </row>
    <row r="516" spans="4:9">
      <c r="D516" s="44"/>
      <c r="I516" s="44"/>
    </row>
    <row r="517" spans="4:9">
      <c r="D517" s="44"/>
      <c r="I517" s="44"/>
    </row>
    <row r="518" spans="4:9">
      <c r="D518" s="44"/>
      <c r="I518" s="44"/>
    </row>
    <row r="519" spans="4:9">
      <c r="D519" s="44"/>
      <c r="I519" s="44"/>
    </row>
    <row r="520" spans="4:9">
      <c r="D520" s="44"/>
      <c r="I520" s="44"/>
    </row>
    <row r="521" spans="4:9">
      <c r="D521" s="44"/>
      <c r="I521" s="44"/>
    </row>
    <row r="522" spans="4:9">
      <c r="D522" s="44"/>
      <c r="I522" s="44"/>
    </row>
    <row r="523" spans="4:9">
      <c r="D523" s="44"/>
      <c r="I523" s="44"/>
    </row>
    <row r="524" spans="4:9">
      <c r="D524" s="44"/>
      <c r="I524" s="44"/>
    </row>
    <row r="525" spans="4:9">
      <c r="D525" s="44"/>
      <c r="I525" s="44"/>
    </row>
    <row r="526" spans="4:9">
      <c r="D526" s="44"/>
      <c r="I526" s="44"/>
    </row>
    <row r="527" spans="4:9">
      <c r="D527" s="44"/>
      <c r="I527" s="44"/>
    </row>
    <row r="528" spans="4:9">
      <c r="D528" s="44"/>
      <c r="I528" s="44"/>
    </row>
    <row r="529" spans="4:9">
      <c r="D529" s="44"/>
      <c r="I529" s="44"/>
    </row>
    <row r="530" spans="4:9">
      <c r="D530" s="44"/>
      <c r="I530" s="44"/>
    </row>
    <row r="531" spans="4:9">
      <c r="D531" s="44"/>
      <c r="I531" s="44"/>
    </row>
    <row r="532" spans="4:9">
      <c r="D532" s="44"/>
      <c r="I532" s="44"/>
    </row>
    <row r="533" spans="4:9">
      <c r="D533" s="44"/>
      <c r="I533" s="44"/>
    </row>
    <row r="534" spans="4:9">
      <c r="D534" s="44"/>
      <c r="I534" s="44"/>
    </row>
    <row r="535" spans="4:9">
      <c r="D535" s="44"/>
      <c r="I535" s="44"/>
    </row>
    <row r="536" spans="4:9">
      <c r="D536" s="44"/>
      <c r="I536" s="44"/>
    </row>
    <row r="537" spans="4:9">
      <c r="D537" s="44"/>
      <c r="I537" s="44"/>
    </row>
    <row r="538" spans="4:9">
      <c r="D538" s="44"/>
      <c r="I538" s="44"/>
    </row>
    <row r="539" spans="4:9">
      <c r="D539" s="44"/>
      <c r="I539" s="44"/>
    </row>
    <row r="540" spans="4:9">
      <c r="D540" s="44"/>
      <c r="I540" s="44"/>
    </row>
    <row r="541" spans="4:9">
      <c r="D541" s="44"/>
      <c r="I541" s="44"/>
    </row>
    <row r="542" spans="4:9">
      <c r="D542" s="44"/>
      <c r="I542" s="44"/>
    </row>
    <row r="543" spans="4:9">
      <c r="D543" s="44"/>
      <c r="I543" s="44"/>
    </row>
    <row r="544" spans="4:9">
      <c r="D544" s="44"/>
      <c r="I544" s="44"/>
    </row>
    <row r="545" spans="4:9">
      <c r="D545" s="44"/>
      <c r="I545" s="44"/>
    </row>
    <row r="546" spans="4:9">
      <c r="D546" s="44"/>
      <c r="I546" s="44"/>
    </row>
    <row r="547" spans="4:9">
      <c r="D547" s="44"/>
      <c r="I547" s="44"/>
    </row>
    <row r="548" spans="4:9">
      <c r="D548" s="44"/>
      <c r="I548" s="44"/>
    </row>
    <row r="549" spans="4:9">
      <c r="D549" s="44"/>
      <c r="I549" s="44"/>
    </row>
    <row r="550" spans="4:9">
      <c r="D550" s="44"/>
      <c r="I550" s="44"/>
    </row>
    <row r="551" spans="4:9">
      <c r="D551" s="44"/>
      <c r="I551" s="44"/>
    </row>
    <row r="552" spans="4:9">
      <c r="D552" s="44"/>
      <c r="I552" s="44"/>
    </row>
    <row r="553" spans="4:9">
      <c r="D553" s="44"/>
      <c r="I553" s="44"/>
    </row>
    <row r="554" spans="4:9">
      <c r="D554" s="44"/>
      <c r="I554" s="44"/>
    </row>
    <row r="555" spans="4:9">
      <c r="D555" s="44"/>
      <c r="I555" s="44"/>
    </row>
    <row r="556" spans="4:9">
      <c r="D556" s="44"/>
      <c r="I556" s="44"/>
    </row>
    <row r="557" spans="4:9">
      <c r="D557" s="44"/>
      <c r="I557" s="44"/>
    </row>
    <row r="558" spans="4:9">
      <c r="D558" s="44"/>
      <c r="I558" s="44"/>
    </row>
    <row r="559" spans="4:9">
      <c r="D559" s="44"/>
      <c r="I559" s="44"/>
    </row>
    <row r="560" spans="4:9">
      <c r="D560" s="44"/>
      <c r="I560" s="44"/>
    </row>
    <row r="561" spans="4:9">
      <c r="D561" s="44"/>
      <c r="I561" s="44"/>
    </row>
    <row r="562" spans="4:9">
      <c r="D562" s="44"/>
      <c r="I562" s="44"/>
    </row>
    <row r="563" spans="4:9">
      <c r="D563" s="44"/>
      <c r="I563" s="44"/>
    </row>
    <row r="564" spans="4:9">
      <c r="D564" s="44"/>
      <c r="I564" s="44"/>
    </row>
    <row r="565" spans="4:9">
      <c r="D565" s="44"/>
      <c r="I565" s="44"/>
    </row>
    <row r="566" spans="4:9">
      <c r="D566" s="44"/>
      <c r="I566" s="44"/>
    </row>
    <row r="567" spans="4:9">
      <c r="D567" s="44"/>
      <c r="I567" s="44"/>
    </row>
    <row r="568" spans="4:9">
      <c r="D568" s="44"/>
      <c r="I568" s="44"/>
    </row>
    <row r="569" spans="4:9">
      <c r="D569" s="44"/>
      <c r="I569" s="44"/>
    </row>
    <row r="570" spans="4:9">
      <c r="D570" s="44"/>
      <c r="I570" s="44"/>
    </row>
    <row r="571" spans="4:9">
      <c r="D571" s="44"/>
      <c r="I571" s="44"/>
    </row>
    <row r="572" spans="4:9">
      <c r="D572" s="44"/>
      <c r="I572" s="44"/>
    </row>
    <row r="573" spans="4:9">
      <c r="D573" s="44"/>
      <c r="I573" s="44"/>
    </row>
    <row r="574" spans="4:9">
      <c r="D574" s="44"/>
      <c r="I574" s="44"/>
    </row>
    <row r="575" spans="4:9">
      <c r="D575" s="44"/>
      <c r="I575" s="44"/>
    </row>
    <row r="576" spans="4:9">
      <c r="D576" s="44"/>
      <c r="I576" s="44"/>
    </row>
    <row r="577" spans="4:9">
      <c r="D577" s="44"/>
      <c r="I577" s="44"/>
    </row>
    <row r="578" spans="4:9">
      <c r="D578" s="44"/>
      <c r="I578" s="44"/>
    </row>
    <row r="579" spans="4:9">
      <c r="D579" s="44"/>
      <c r="I579" s="44"/>
    </row>
    <row r="580" spans="4:9">
      <c r="D580" s="44"/>
      <c r="I580" s="44"/>
    </row>
    <row r="581" spans="4:9">
      <c r="D581" s="44"/>
      <c r="I581" s="44"/>
    </row>
    <row r="582" spans="4:9">
      <c r="D582" s="44"/>
      <c r="I582" s="44"/>
    </row>
    <row r="583" spans="4:9">
      <c r="D583" s="44"/>
      <c r="I583" s="44"/>
    </row>
    <row r="584" spans="4:9">
      <c r="D584" s="44"/>
      <c r="I584" s="44"/>
    </row>
    <row r="585" spans="4:9">
      <c r="D585" s="44"/>
      <c r="I585" s="44"/>
    </row>
    <row r="586" spans="4:9">
      <c r="D586" s="44"/>
      <c r="I586" s="44"/>
    </row>
    <row r="587" spans="4:9">
      <c r="D587" s="44"/>
      <c r="I587" s="44"/>
    </row>
    <row r="588" spans="4:9">
      <c r="D588" s="44"/>
      <c r="I588" s="44"/>
    </row>
    <row r="589" spans="4:9">
      <c r="D589" s="44"/>
      <c r="I589" s="44"/>
    </row>
    <row r="590" spans="4:9">
      <c r="D590" s="44"/>
      <c r="I590" s="44"/>
    </row>
    <row r="591" spans="4:9">
      <c r="D591" s="44"/>
      <c r="I591" s="44"/>
    </row>
    <row r="592" spans="4:9">
      <c r="D592" s="44"/>
      <c r="I592" s="44"/>
    </row>
    <row r="593" spans="4:9">
      <c r="D593" s="44"/>
      <c r="I593" s="44"/>
    </row>
    <row r="594" spans="4:9">
      <c r="D594" s="44"/>
      <c r="I594" s="44"/>
    </row>
    <row r="595" spans="4:9">
      <c r="D595" s="44"/>
      <c r="I595" s="44"/>
    </row>
    <row r="596" spans="4:9">
      <c r="D596" s="44"/>
      <c r="I596" s="44"/>
    </row>
    <row r="597" spans="4:9">
      <c r="D597" s="44"/>
      <c r="I597" s="44"/>
    </row>
    <row r="598" spans="4:9">
      <c r="D598" s="44"/>
      <c r="I598" s="44"/>
    </row>
    <row r="599" spans="4:9">
      <c r="D599" s="44"/>
      <c r="I599" s="44"/>
    </row>
    <row r="600" spans="4:9">
      <c r="D600" s="44"/>
      <c r="I600" s="44"/>
    </row>
    <row r="601" spans="4:9">
      <c r="D601" s="44"/>
      <c r="I601" s="44"/>
    </row>
    <row r="602" spans="4:9">
      <c r="D602" s="44"/>
      <c r="I602" s="44"/>
    </row>
    <row r="603" spans="4:9">
      <c r="D603" s="44"/>
      <c r="I603" s="44"/>
    </row>
    <row r="604" spans="4:9">
      <c r="D604" s="44"/>
      <c r="I604" s="44"/>
    </row>
    <row r="605" spans="4:9">
      <c r="D605" s="44"/>
      <c r="I605" s="44"/>
    </row>
    <row r="606" spans="4:9">
      <c r="D606" s="44"/>
      <c r="I606" s="44"/>
    </row>
    <row r="607" spans="4:9">
      <c r="D607" s="44"/>
      <c r="I607" s="44"/>
    </row>
    <row r="608" spans="4:9">
      <c r="D608" s="44"/>
      <c r="I608" s="44"/>
    </row>
    <row r="609" spans="4:9">
      <c r="D609" s="44"/>
      <c r="I609" s="44"/>
    </row>
    <row r="610" spans="4:9">
      <c r="D610" s="44"/>
      <c r="I610" s="44"/>
    </row>
    <row r="611" spans="4:9">
      <c r="D611" s="44"/>
      <c r="I611" s="44"/>
    </row>
    <row r="612" spans="4:9">
      <c r="D612" s="44"/>
      <c r="I612" s="44"/>
    </row>
    <row r="613" spans="4:9">
      <c r="D613" s="44"/>
      <c r="I613" s="44"/>
    </row>
    <row r="614" spans="4:9">
      <c r="D614" s="44"/>
      <c r="I614" s="44"/>
    </row>
    <row r="615" spans="4:9">
      <c r="D615" s="44"/>
      <c r="I615" s="44"/>
    </row>
    <row r="616" spans="4:9">
      <c r="D616" s="44"/>
      <c r="I616" s="44"/>
    </row>
    <row r="617" spans="4:9">
      <c r="D617" s="44"/>
      <c r="I617" s="44"/>
    </row>
    <row r="618" spans="4:9">
      <c r="D618" s="44"/>
      <c r="I618" s="44"/>
    </row>
    <row r="619" spans="4:9">
      <c r="D619" s="44"/>
      <c r="I619" s="44"/>
    </row>
    <row r="620" spans="4:9">
      <c r="D620" s="44"/>
      <c r="I620" s="44"/>
    </row>
    <row r="621" spans="4:9">
      <c r="D621" s="44"/>
      <c r="I621" s="44"/>
    </row>
    <row r="622" spans="4:9">
      <c r="D622" s="44"/>
      <c r="I622" s="44"/>
    </row>
    <row r="623" spans="4:9">
      <c r="D623" s="44"/>
      <c r="I623" s="44"/>
    </row>
    <row r="624" spans="4:9">
      <c r="D624" s="44"/>
      <c r="I624" s="44"/>
    </row>
    <row r="625" spans="4:9">
      <c r="D625" s="44"/>
      <c r="I625" s="44"/>
    </row>
    <row r="626" spans="4:9">
      <c r="D626" s="44"/>
      <c r="I626" s="44"/>
    </row>
    <row r="627" spans="4:9">
      <c r="D627" s="44"/>
      <c r="I627" s="44"/>
    </row>
    <row r="628" spans="4:9">
      <c r="D628" s="44"/>
      <c r="I628" s="44"/>
    </row>
    <row r="629" spans="4:9">
      <c r="D629" s="44"/>
      <c r="I629" s="44"/>
    </row>
    <row r="630" spans="4:9">
      <c r="D630" s="44"/>
      <c r="I630" s="44"/>
    </row>
    <row r="631" spans="4:9">
      <c r="D631" s="44"/>
      <c r="I631" s="44"/>
    </row>
    <row r="632" spans="4:9">
      <c r="D632" s="44"/>
      <c r="I632" s="44"/>
    </row>
    <row r="633" spans="4:9">
      <c r="D633" s="44"/>
      <c r="I633" s="44"/>
    </row>
    <row r="634" spans="4:9">
      <c r="D634" s="44"/>
      <c r="I634" s="44"/>
    </row>
    <row r="635" spans="4:9">
      <c r="D635" s="44"/>
      <c r="I635" s="44"/>
    </row>
    <row r="636" spans="4:9">
      <c r="D636" s="44"/>
      <c r="I636" s="44"/>
    </row>
    <row r="637" spans="4:9">
      <c r="D637" s="44"/>
      <c r="I637" s="44"/>
    </row>
    <row r="638" spans="4:9">
      <c r="D638" s="44"/>
      <c r="I638" s="44"/>
    </row>
    <row r="639" spans="4:9">
      <c r="D639" s="44"/>
      <c r="I639" s="44"/>
    </row>
    <row r="640" spans="4:9">
      <c r="D640" s="44"/>
      <c r="I640" s="44"/>
    </row>
    <row r="641" spans="4:9">
      <c r="D641" s="44"/>
      <c r="I641" s="44"/>
    </row>
    <row r="642" spans="4:9">
      <c r="D642" s="44"/>
      <c r="I642" s="44"/>
    </row>
    <row r="643" spans="4:9">
      <c r="D643" s="44"/>
      <c r="I643" s="44"/>
    </row>
    <row r="644" spans="4:9">
      <c r="D644" s="44"/>
      <c r="I644" s="44"/>
    </row>
    <row r="645" spans="4:9">
      <c r="D645" s="44"/>
      <c r="I645" s="44"/>
    </row>
    <row r="646" spans="4:9">
      <c r="D646" s="44"/>
      <c r="I646" s="44"/>
    </row>
    <row r="647" spans="4:9">
      <c r="D647" s="44"/>
      <c r="I647" s="44"/>
    </row>
    <row r="648" spans="4:9">
      <c r="D648" s="44"/>
      <c r="I648" s="44"/>
    </row>
    <row r="649" spans="4:9">
      <c r="D649" s="44"/>
      <c r="I649" s="44"/>
    </row>
    <row r="650" spans="4:9">
      <c r="D650" s="44"/>
      <c r="I650" s="44"/>
    </row>
    <row r="651" spans="4:9">
      <c r="D651" s="44"/>
      <c r="I651" s="44"/>
    </row>
    <row r="652" spans="4:9">
      <c r="D652" s="44"/>
      <c r="I652" s="44"/>
    </row>
    <row r="653" spans="4:9">
      <c r="D653" s="44"/>
      <c r="I653" s="44"/>
    </row>
    <row r="654" spans="4:9">
      <c r="D654" s="44"/>
      <c r="I654" s="44"/>
    </row>
    <row r="655" spans="4:9">
      <c r="D655" s="44"/>
      <c r="I655" s="44"/>
    </row>
    <row r="656" spans="4:9">
      <c r="D656" s="44"/>
      <c r="I656" s="44"/>
    </row>
    <row r="657" spans="4:9">
      <c r="D657" s="44"/>
      <c r="I657" s="44"/>
    </row>
    <row r="658" spans="4:9">
      <c r="D658" s="44"/>
      <c r="I658" s="44"/>
    </row>
    <row r="659" spans="4:9">
      <c r="D659" s="44"/>
      <c r="I659" s="44"/>
    </row>
    <row r="660" spans="4:9">
      <c r="D660" s="44"/>
      <c r="I660" s="44"/>
    </row>
    <row r="661" spans="4:9">
      <c r="D661" s="44"/>
      <c r="I661" s="44"/>
    </row>
    <row r="662" spans="4:9">
      <c r="D662" s="44"/>
      <c r="I662" s="44"/>
    </row>
    <row r="663" spans="4:9">
      <c r="D663" s="44"/>
      <c r="I663" s="44"/>
    </row>
    <row r="664" spans="4:9">
      <c r="D664" s="44"/>
      <c r="I664" s="44"/>
    </row>
    <row r="665" spans="4:9">
      <c r="D665" s="44"/>
      <c r="I665" s="44"/>
    </row>
    <row r="666" spans="4:9">
      <c r="D666" s="44"/>
      <c r="I666" s="44"/>
    </row>
    <row r="667" spans="4:9">
      <c r="D667" s="44"/>
      <c r="I667" s="44"/>
    </row>
    <row r="668" spans="4:9">
      <c r="D668" s="44"/>
      <c r="I668" s="44"/>
    </row>
    <row r="669" spans="4:9">
      <c r="D669" s="44"/>
      <c r="I669" s="44"/>
    </row>
    <row r="670" spans="4:9">
      <c r="D670" s="44"/>
      <c r="I670" s="44"/>
    </row>
    <row r="671" spans="4:9">
      <c r="D671" s="44"/>
      <c r="I671" s="44"/>
    </row>
    <row r="672" spans="4:9">
      <c r="D672" s="44"/>
      <c r="I672" s="44"/>
    </row>
    <row r="673" spans="4:9">
      <c r="D673" s="44"/>
      <c r="I673" s="44"/>
    </row>
    <row r="674" spans="4:9">
      <c r="D674" s="44"/>
      <c r="I674" s="44"/>
    </row>
    <row r="675" spans="4:9">
      <c r="D675" s="44"/>
      <c r="I675" s="44"/>
    </row>
    <row r="676" spans="4:9">
      <c r="D676" s="44"/>
      <c r="I676" s="44"/>
    </row>
    <row r="677" spans="4:9">
      <c r="D677" s="44"/>
      <c r="I677" s="44"/>
    </row>
    <row r="678" spans="4:9">
      <c r="D678" s="44"/>
      <c r="I678" s="44"/>
    </row>
    <row r="679" spans="4:9">
      <c r="D679" s="44"/>
      <c r="I679" s="44"/>
    </row>
    <row r="680" spans="4:9">
      <c r="D680" s="44"/>
      <c r="I680" s="44"/>
    </row>
    <row r="681" spans="4:9">
      <c r="D681" s="44"/>
      <c r="I681" s="44"/>
    </row>
    <row r="682" spans="4:9">
      <c r="D682" s="44"/>
      <c r="I682" s="44"/>
    </row>
    <row r="683" spans="4:9">
      <c r="D683" s="44"/>
      <c r="I683" s="44"/>
    </row>
    <row r="684" spans="4:9">
      <c r="D684" s="44"/>
      <c r="I684" s="44"/>
    </row>
    <row r="685" spans="4:9">
      <c r="D685" s="44"/>
      <c r="I685" s="44"/>
    </row>
    <row r="686" spans="4:9">
      <c r="D686" s="44"/>
      <c r="I686" s="44"/>
    </row>
    <row r="687" spans="4:9">
      <c r="D687" s="44"/>
      <c r="I687" s="44"/>
    </row>
    <row r="688" spans="4:9">
      <c r="D688" s="44"/>
      <c r="I688" s="44"/>
    </row>
    <row r="689" spans="4:9">
      <c r="D689" s="44"/>
      <c r="I689" s="44"/>
    </row>
    <row r="690" spans="4:9">
      <c r="D690" s="44"/>
      <c r="I690" s="44"/>
    </row>
    <row r="691" spans="4:9">
      <c r="D691" s="44"/>
      <c r="I691" s="44"/>
    </row>
    <row r="692" spans="4:9">
      <c r="D692" s="44"/>
      <c r="I692" s="44"/>
    </row>
    <row r="693" spans="4:9">
      <c r="D693" s="44"/>
      <c r="I693" s="44"/>
    </row>
    <row r="694" spans="4:9">
      <c r="D694" s="44"/>
      <c r="I694" s="44"/>
    </row>
    <row r="695" spans="4:9">
      <c r="D695" s="44"/>
      <c r="I695" s="44"/>
    </row>
    <row r="696" spans="4:9">
      <c r="D696" s="44"/>
      <c r="I696" s="44"/>
    </row>
    <row r="697" spans="4:9">
      <c r="D697" s="44"/>
      <c r="I697" s="44"/>
    </row>
    <row r="698" spans="4:9">
      <c r="D698" s="44"/>
      <c r="I698" s="44"/>
    </row>
    <row r="699" spans="4:9">
      <c r="D699" s="44"/>
      <c r="I699" s="44"/>
    </row>
    <row r="700" spans="4:9">
      <c r="D700" s="44"/>
      <c r="I700" s="44"/>
    </row>
    <row r="701" spans="4:9">
      <c r="D701" s="44"/>
      <c r="I701" s="44"/>
    </row>
    <row r="702" spans="4:9">
      <c r="D702" s="44"/>
      <c r="I702" s="44"/>
    </row>
    <row r="703" spans="4:9">
      <c r="D703" s="44"/>
      <c r="I703" s="44"/>
    </row>
    <row r="704" spans="4:9">
      <c r="D704" s="44"/>
      <c r="I704" s="44"/>
    </row>
    <row r="705" spans="4:9">
      <c r="D705" s="44"/>
      <c r="I705" s="44"/>
    </row>
    <row r="706" spans="4:9">
      <c r="D706" s="44"/>
      <c r="I706" s="44"/>
    </row>
    <row r="707" spans="4:9">
      <c r="D707" s="44"/>
      <c r="I707" s="44"/>
    </row>
    <row r="708" spans="4:9">
      <c r="D708" s="44"/>
      <c r="I708" s="44"/>
    </row>
    <row r="709" spans="4:9">
      <c r="D709" s="44"/>
      <c r="I709" s="44"/>
    </row>
    <row r="710" spans="4:9">
      <c r="D710" s="44"/>
      <c r="I710" s="44"/>
    </row>
    <row r="711" spans="4:9">
      <c r="D711" s="44"/>
      <c r="I711" s="44"/>
    </row>
    <row r="712" spans="4:9">
      <c r="D712" s="44"/>
      <c r="I712" s="44"/>
    </row>
    <row r="713" spans="4:9">
      <c r="D713" s="44"/>
      <c r="I713" s="44"/>
    </row>
    <row r="714" spans="4:9">
      <c r="D714" s="44"/>
      <c r="I714" s="44"/>
    </row>
    <row r="715" spans="4:9">
      <c r="D715" s="44"/>
      <c r="I715" s="44"/>
    </row>
    <row r="716" spans="4:9">
      <c r="D716" s="44"/>
      <c r="I716" s="44"/>
    </row>
    <row r="717" spans="4:9">
      <c r="D717" s="44"/>
      <c r="I717" s="44"/>
    </row>
    <row r="718" spans="4:9">
      <c r="D718" s="44"/>
      <c r="I718" s="44"/>
    </row>
    <row r="719" spans="4:9">
      <c r="D719" s="44"/>
      <c r="I719" s="44"/>
    </row>
    <row r="720" spans="4:9">
      <c r="D720" s="44"/>
      <c r="I720" s="44"/>
    </row>
    <row r="721" spans="4:9">
      <c r="D721" s="44"/>
      <c r="I721" s="44"/>
    </row>
    <row r="722" spans="4:9">
      <c r="D722" s="44"/>
      <c r="I722" s="44"/>
    </row>
    <row r="723" spans="4:9">
      <c r="D723" s="44"/>
      <c r="I723" s="44"/>
    </row>
    <row r="724" spans="4:9">
      <c r="D724" s="44"/>
      <c r="I724" s="44"/>
    </row>
    <row r="725" spans="4:9">
      <c r="D725" s="44"/>
      <c r="I725" s="44"/>
    </row>
    <row r="726" spans="4:9">
      <c r="D726" s="44"/>
      <c r="I726" s="44"/>
    </row>
    <row r="727" spans="4:9">
      <c r="D727" s="44"/>
      <c r="I727" s="44"/>
    </row>
    <row r="728" spans="4:9">
      <c r="D728" s="44"/>
      <c r="I728" s="44"/>
    </row>
    <row r="729" spans="4:9">
      <c r="D729" s="44"/>
      <c r="I729" s="44"/>
    </row>
    <row r="730" spans="4:9">
      <c r="D730" s="44"/>
      <c r="I730" s="44"/>
    </row>
    <row r="731" spans="4:9">
      <c r="D731" s="44"/>
      <c r="I731" s="44"/>
    </row>
    <row r="732" spans="4:9">
      <c r="D732" s="44"/>
      <c r="I732" s="44"/>
    </row>
    <row r="733" spans="4:9">
      <c r="D733" s="44"/>
      <c r="I733" s="44"/>
    </row>
    <row r="734" spans="4:9">
      <c r="D734" s="44"/>
      <c r="I734" s="44"/>
    </row>
    <row r="735" spans="4:9">
      <c r="D735" s="44"/>
      <c r="I735" s="44"/>
    </row>
    <row r="736" spans="4:9">
      <c r="D736" s="44"/>
      <c r="I736" s="44"/>
    </row>
    <row r="737" spans="4:9">
      <c r="D737" s="44"/>
      <c r="I737" s="44"/>
    </row>
    <row r="738" spans="4:9">
      <c r="D738" s="44"/>
      <c r="I738" s="44"/>
    </row>
    <row r="739" spans="4:9">
      <c r="D739" s="44"/>
      <c r="I739" s="44"/>
    </row>
    <row r="740" spans="4:9">
      <c r="D740" s="44"/>
      <c r="I740" s="44"/>
    </row>
    <row r="741" spans="4:9">
      <c r="D741" s="44"/>
      <c r="I741" s="44"/>
    </row>
    <row r="742" spans="4:9">
      <c r="D742" s="44"/>
      <c r="I742" s="44"/>
    </row>
    <row r="743" spans="4:9">
      <c r="D743" s="44"/>
      <c r="I743" s="44"/>
    </row>
    <row r="744" spans="4:9">
      <c r="D744" s="44"/>
      <c r="I744" s="44"/>
    </row>
    <row r="745" spans="4:9">
      <c r="D745" s="44"/>
      <c r="I745" s="44"/>
    </row>
    <row r="746" spans="4:9">
      <c r="D746" s="44"/>
      <c r="I746" s="44"/>
    </row>
    <row r="747" spans="4:9">
      <c r="D747" s="44"/>
      <c r="I747" s="44"/>
    </row>
    <row r="748" spans="4:9">
      <c r="D748" s="44"/>
      <c r="I748" s="44"/>
    </row>
    <row r="749" spans="4:9">
      <c r="D749" s="44"/>
      <c r="I749" s="44"/>
    </row>
    <row r="750" spans="4:9">
      <c r="D750" s="44"/>
      <c r="I750" s="44"/>
    </row>
    <row r="751" spans="4:9">
      <c r="D751" s="44"/>
      <c r="I751" s="44"/>
    </row>
    <row r="752" spans="4:9">
      <c r="D752" s="44"/>
      <c r="I752" s="44"/>
    </row>
    <row r="753" spans="4:9">
      <c r="D753" s="44"/>
      <c r="I753" s="44"/>
    </row>
    <row r="754" spans="4:9">
      <c r="D754" s="44"/>
      <c r="I754" s="44"/>
    </row>
    <row r="755" spans="4:9">
      <c r="D755" s="44"/>
      <c r="I755" s="44"/>
    </row>
    <row r="756" spans="4:9">
      <c r="D756" s="44"/>
      <c r="I756" s="44"/>
    </row>
    <row r="757" spans="4:9">
      <c r="D757" s="44"/>
      <c r="I757" s="44"/>
    </row>
    <row r="758" spans="4:9">
      <c r="D758" s="44"/>
      <c r="I758" s="44"/>
    </row>
    <row r="759" spans="4:9">
      <c r="D759" s="44"/>
      <c r="I759" s="44"/>
    </row>
    <row r="760" spans="4:9">
      <c r="D760" s="44"/>
      <c r="I760" s="44"/>
    </row>
    <row r="761" spans="4:9">
      <c r="D761" s="44"/>
      <c r="I761" s="44"/>
    </row>
    <row r="762" spans="4:9">
      <c r="D762" s="44"/>
      <c r="I762" s="44"/>
    </row>
    <row r="763" spans="4:9">
      <c r="D763" s="44"/>
      <c r="I763" s="44"/>
    </row>
    <row r="764" spans="4:9">
      <c r="D764" s="44"/>
      <c r="I764" s="44"/>
    </row>
    <row r="765" spans="4:9">
      <c r="D765" s="44"/>
      <c r="I765" s="44"/>
    </row>
    <row r="766" spans="4:9">
      <c r="D766" s="44"/>
      <c r="I766" s="44"/>
    </row>
    <row r="767" spans="4:9">
      <c r="D767" s="44"/>
      <c r="I767" s="44"/>
    </row>
    <row r="768" spans="4:9">
      <c r="D768" s="44"/>
      <c r="I768" s="44"/>
    </row>
    <row r="769" spans="4:9">
      <c r="D769" s="44"/>
      <c r="I769" s="44"/>
    </row>
    <row r="770" spans="4:9">
      <c r="D770" s="44"/>
      <c r="I770" s="44"/>
    </row>
    <row r="771" spans="4:9">
      <c r="D771" s="44"/>
      <c r="I771" s="44"/>
    </row>
    <row r="772" spans="4:9">
      <c r="D772" s="44"/>
      <c r="I772" s="44"/>
    </row>
    <row r="773" spans="4:9">
      <c r="D773" s="44"/>
      <c r="I773" s="44"/>
    </row>
    <row r="774" spans="4:9">
      <c r="D774" s="44"/>
      <c r="I774" s="44"/>
    </row>
    <row r="775" spans="4:9">
      <c r="D775" s="44"/>
      <c r="I775" s="44"/>
    </row>
    <row r="776" spans="4:9">
      <c r="D776" s="44"/>
      <c r="I776" s="44"/>
    </row>
    <row r="777" spans="4:9">
      <c r="D777" s="44"/>
      <c r="I777" s="44"/>
    </row>
    <row r="778" spans="4:9">
      <c r="D778" s="44"/>
      <c r="I778" s="44"/>
    </row>
    <row r="779" spans="4:9">
      <c r="D779" s="44"/>
      <c r="I779" s="44"/>
    </row>
    <row r="780" spans="4:9">
      <c r="D780" s="44"/>
      <c r="I780" s="44"/>
    </row>
    <row r="781" spans="4:9">
      <c r="D781" s="44"/>
      <c r="I781" s="44"/>
    </row>
    <row r="782" spans="4:9">
      <c r="D782" s="44"/>
      <c r="I782" s="44"/>
    </row>
    <row r="783" spans="4:9">
      <c r="D783" s="44"/>
      <c r="I783" s="44"/>
    </row>
    <row r="784" spans="4:9">
      <c r="D784" s="44"/>
      <c r="I784" s="44"/>
    </row>
    <row r="785" spans="4:9">
      <c r="D785" s="44"/>
      <c r="I785" s="44"/>
    </row>
    <row r="786" spans="4:9">
      <c r="D786" s="44"/>
      <c r="I786" s="44"/>
    </row>
    <row r="787" spans="4:9">
      <c r="D787" s="44"/>
      <c r="I787" s="44"/>
    </row>
    <row r="788" spans="4:9">
      <c r="D788" s="44"/>
      <c r="I788" s="44"/>
    </row>
    <row r="789" spans="4:9">
      <c r="D789" s="44"/>
      <c r="I789" s="44"/>
    </row>
    <row r="790" spans="4:9">
      <c r="D790" s="44"/>
      <c r="I790" s="44"/>
    </row>
    <row r="791" spans="4:9">
      <c r="D791" s="44"/>
      <c r="I791" s="44"/>
    </row>
    <row r="792" spans="4:9">
      <c r="D792" s="44"/>
      <c r="I792" s="44"/>
    </row>
    <row r="793" spans="4:9">
      <c r="D793" s="44"/>
      <c r="I793" s="44"/>
    </row>
    <row r="794" spans="4:9">
      <c r="D794" s="44"/>
      <c r="I794" s="44"/>
    </row>
    <row r="795" spans="4:9">
      <c r="D795" s="44"/>
      <c r="I795" s="44"/>
    </row>
    <row r="796" spans="4:9">
      <c r="D796" s="44"/>
      <c r="I796" s="44"/>
    </row>
    <row r="797" spans="4:9">
      <c r="D797" s="44"/>
      <c r="I797" s="44"/>
    </row>
    <row r="798" spans="4:9">
      <c r="D798" s="44"/>
      <c r="I798" s="44"/>
    </row>
    <row r="799" spans="4:9">
      <c r="D799" s="44"/>
      <c r="I799" s="44"/>
    </row>
    <row r="800" spans="4:9">
      <c r="D800" s="44"/>
      <c r="I800" s="44"/>
    </row>
    <row r="801" spans="4:9">
      <c r="D801" s="44"/>
      <c r="I801" s="44"/>
    </row>
    <row r="802" spans="4:9">
      <c r="D802" s="44"/>
      <c r="I802" s="44"/>
    </row>
    <row r="803" spans="4:9">
      <c r="D803" s="44"/>
      <c r="I803" s="44"/>
    </row>
    <row r="804" spans="4:9">
      <c r="D804" s="44"/>
      <c r="I804" s="44"/>
    </row>
    <row r="805" spans="4:9">
      <c r="D805" s="44"/>
      <c r="I805" s="44"/>
    </row>
    <row r="806" spans="4:9">
      <c r="D806" s="44"/>
      <c r="I806" s="44"/>
    </row>
    <row r="807" spans="4:9">
      <c r="D807" s="44"/>
      <c r="I807" s="44"/>
    </row>
    <row r="808" spans="4:9">
      <c r="D808" s="44"/>
      <c r="I808" s="44"/>
    </row>
    <row r="809" spans="4:9">
      <c r="D809" s="44"/>
      <c r="I809" s="44"/>
    </row>
    <row r="810" spans="4:9">
      <c r="D810" s="44"/>
      <c r="I810" s="44"/>
    </row>
    <row r="811" spans="4:9">
      <c r="D811" s="44"/>
      <c r="I811" s="44"/>
    </row>
    <row r="812" spans="4:9">
      <c r="D812" s="44"/>
      <c r="I812" s="44"/>
    </row>
    <row r="813" spans="4:9">
      <c r="D813" s="44"/>
      <c r="I813" s="44"/>
    </row>
    <row r="814" spans="4:9">
      <c r="D814" s="44"/>
      <c r="I814" s="44"/>
    </row>
    <row r="815" spans="4:9">
      <c r="D815" s="44"/>
      <c r="I815" s="44"/>
    </row>
    <row r="816" spans="4:9">
      <c r="D816" s="44"/>
      <c r="I816" s="44"/>
    </row>
    <row r="817" spans="4:9">
      <c r="D817" s="44"/>
      <c r="I817" s="44"/>
    </row>
    <row r="818" spans="4:9">
      <c r="D818" s="44"/>
      <c r="I818" s="44"/>
    </row>
    <row r="819" spans="4:9">
      <c r="D819" s="44"/>
      <c r="I819" s="44"/>
    </row>
    <row r="820" spans="4:9">
      <c r="D820" s="44"/>
      <c r="I820" s="44"/>
    </row>
    <row r="821" spans="4:9">
      <c r="D821" s="44"/>
      <c r="I821" s="44"/>
    </row>
    <row r="822" spans="4:9">
      <c r="D822" s="44"/>
      <c r="I822" s="44"/>
    </row>
    <row r="823" spans="4:9">
      <c r="D823" s="44"/>
      <c r="I823" s="44"/>
    </row>
    <row r="824" spans="4:9">
      <c r="D824" s="44"/>
      <c r="I824" s="44"/>
    </row>
    <row r="825" spans="4:9">
      <c r="D825" s="44"/>
      <c r="I825" s="44"/>
    </row>
    <row r="826" spans="4:9">
      <c r="D826" s="44"/>
      <c r="I826" s="44"/>
    </row>
    <row r="827" spans="4:9">
      <c r="D827" s="44"/>
      <c r="I827" s="44"/>
    </row>
    <row r="828" spans="4:9">
      <c r="D828" s="44"/>
      <c r="I828" s="44"/>
    </row>
    <row r="829" spans="4:9">
      <c r="D829" s="44"/>
      <c r="I829" s="44"/>
    </row>
    <row r="830" spans="4:9">
      <c r="D830" s="44"/>
      <c r="I830" s="44"/>
    </row>
    <row r="831" spans="4:9">
      <c r="D831" s="44"/>
      <c r="I831" s="44"/>
    </row>
    <row r="832" spans="4:9">
      <c r="D832" s="44"/>
      <c r="I832" s="44"/>
    </row>
    <row r="833" spans="4:9">
      <c r="D833" s="44"/>
      <c r="I833" s="44"/>
    </row>
    <row r="834" spans="4:9">
      <c r="D834" s="44"/>
      <c r="I834" s="44"/>
    </row>
    <row r="835" spans="4:9">
      <c r="D835" s="44"/>
      <c r="I835" s="44"/>
    </row>
    <row r="836" spans="4:9">
      <c r="D836" s="44"/>
      <c r="I836" s="44"/>
    </row>
    <row r="837" spans="4:9">
      <c r="D837" s="44"/>
      <c r="I837" s="44"/>
    </row>
    <row r="838" spans="4:9">
      <c r="D838" s="44"/>
      <c r="I838" s="44"/>
    </row>
    <row r="839" spans="4:9">
      <c r="D839" s="44"/>
      <c r="I839" s="44"/>
    </row>
    <row r="840" spans="4:9">
      <c r="D840" s="44"/>
      <c r="I840" s="44"/>
    </row>
    <row r="841" spans="4:9">
      <c r="D841" s="44"/>
      <c r="I841" s="44"/>
    </row>
    <row r="842" spans="4:9">
      <c r="D842" s="44"/>
      <c r="I842" s="44"/>
    </row>
    <row r="843" spans="4:9">
      <c r="D843" s="44"/>
      <c r="I843" s="44"/>
    </row>
    <row r="844" spans="4:9">
      <c r="D844" s="44"/>
      <c r="I844" s="44"/>
    </row>
    <row r="845" spans="4:9">
      <c r="D845" s="44"/>
      <c r="I845" s="44"/>
    </row>
    <row r="846" spans="4:9">
      <c r="D846" s="44"/>
      <c r="I846" s="44"/>
    </row>
    <row r="847" spans="4:9">
      <c r="D847" s="44"/>
      <c r="I847" s="44"/>
    </row>
    <row r="848" spans="4:9">
      <c r="D848" s="44"/>
      <c r="I848" s="44"/>
    </row>
    <row r="849" spans="4:9">
      <c r="D849" s="44"/>
      <c r="I849" s="44"/>
    </row>
    <row r="850" spans="4:9">
      <c r="D850" s="44"/>
      <c r="I850" s="44"/>
    </row>
    <row r="851" spans="4:9">
      <c r="D851" s="44"/>
      <c r="I851" s="44"/>
    </row>
    <row r="852" spans="4:9">
      <c r="D852" s="44"/>
      <c r="I852" s="44"/>
    </row>
    <row r="853" spans="4:9">
      <c r="D853" s="44"/>
      <c r="I853" s="44"/>
    </row>
    <row r="854" spans="4:9">
      <c r="D854" s="44"/>
      <c r="I854" s="44"/>
    </row>
    <row r="855" spans="4:9">
      <c r="D855" s="44"/>
      <c r="I855" s="44"/>
    </row>
    <row r="856" spans="4:9">
      <c r="D856" s="44"/>
      <c r="I856" s="44"/>
    </row>
    <row r="857" spans="4:9">
      <c r="D857" s="44"/>
      <c r="I857" s="44"/>
    </row>
    <row r="858" spans="4:9">
      <c r="D858" s="44"/>
      <c r="I858" s="44"/>
    </row>
    <row r="859" spans="4:9">
      <c r="D859" s="44"/>
      <c r="I859" s="44"/>
    </row>
    <row r="860" spans="4:9">
      <c r="D860" s="44"/>
      <c r="I860" s="44"/>
    </row>
    <row r="861" spans="4:9">
      <c r="D861" s="44"/>
      <c r="I861" s="44"/>
    </row>
    <row r="862" spans="4:9">
      <c r="D862" s="44"/>
      <c r="I862" s="44"/>
    </row>
    <row r="863" spans="4:9">
      <c r="D863" s="44"/>
      <c r="I863" s="44"/>
    </row>
    <row r="864" spans="4:9">
      <c r="D864" s="44"/>
      <c r="I864" s="44"/>
    </row>
    <row r="865" spans="4:9">
      <c r="D865" s="44"/>
      <c r="I865" s="44"/>
    </row>
    <row r="866" spans="4:9">
      <c r="D866" s="44"/>
      <c r="I866" s="44"/>
    </row>
    <row r="867" spans="4:9">
      <c r="D867" s="44"/>
      <c r="I867" s="44"/>
    </row>
    <row r="868" spans="4:9">
      <c r="D868" s="44"/>
      <c r="I868" s="44"/>
    </row>
    <row r="869" spans="4:9">
      <c r="D869" s="44"/>
      <c r="I869" s="44"/>
    </row>
    <row r="870" spans="4:9">
      <c r="D870" s="44"/>
      <c r="I870" s="44"/>
    </row>
    <row r="871" spans="4:9">
      <c r="D871" s="44"/>
      <c r="I871" s="44"/>
    </row>
    <row r="872" spans="4:9">
      <c r="D872" s="44"/>
      <c r="I872" s="44"/>
    </row>
    <row r="873" spans="4:9">
      <c r="D873" s="44"/>
      <c r="I873" s="44"/>
    </row>
    <row r="874" spans="4:9">
      <c r="D874" s="44"/>
      <c r="I874" s="44"/>
    </row>
    <row r="875" spans="4:9">
      <c r="D875" s="44"/>
      <c r="I875" s="44"/>
    </row>
    <row r="876" spans="4:9">
      <c r="D876" s="44"/>
      <c r="I876" s="44"/>
    </row>
    <row r="877" spans="4:9">
      <c r="D877" s="44"/>
      <c r="I877" s="44"/>
    </row>
    <row r="878" spans="4:9">
      <c r="D878" s="44"/>
      <c r="I878" s="44"/>
    </row>
    <row r="879" spans="4:9">
      <c r="D879" s="44"/>
      <c r="I879" s="44"/>
    </row>
    <row r="880" spans="4:9">
      <c r="D880" s="44"/>
      <c r="I880" s="44"/>
    </row>
    <row r="881" spans="4:9">
      <c r="D881" s="44"/>
      <c r="I881" s="44"/>
    </row>
    <row r="882" spans="4:9">
      <c r="D882" s="44"/>
      <c r="I882" s="44"/>
    </row>
    <row r="883" spans="4:9">
      <c r="D883" s="44"/>
      <c r="I883" s="44"/>
    </row>
    <row r="884" spans="4:9">
      <c r="D884" s="44"/>
      <c r="I884" s="44"/>
    </row>
    <row r="885" spans="4:9">
      <c r="D885" s="44"/>
      <c r="I885" s="44"/>
    </row>
    <row r="886" spans="4:9">
      <c r="D886" s="44"/>
      <c r="I886" s="44"/>
    </row>
    <row r="887" spans="4:9">
      <c r="D887" s="44"/>
      <c r="I887" s="44"/>
    </row>
    <row r="888" spans="4:9">
      <c r="D888" s="44"/>
      <c r="I888" s="44"/>
    </row>
    <row r="889" spans="4:9">
      <c r="D889" s="44"/>
      <c r="I889" s="44"/>
    </row>
    <row r="890" spans="4:9">
      <c r="D890" s="44"/>
      <c r="I890" s="44"/>
    </row>
    <row r="891" spans="4:9">
      <c r="D891" s="44"/>
      <c r="I891" s="44"/>
    </row>
    <row r="892" spans="4:9">
      <c r="D892" s="44"/>
      <c r="I892" s="44"/>
    </row>
    <row r="893" spans="4:9">
      <c r="D893" s="44"/>
      <c r="I893" s="44"/>
    </row>
    <row r="894" spans="4:9">
      <c r="D894" s="44"/>
      <c r="I894" s="44"/>
    </row>
    <row r="895" spans="4:9">
      <c r="D895" s="44"/>
      <c r="I895" s="44"/>
    </row>
    <row r="896" spans="4:9">
      <c r="D896" s="44"/>
      <c r="I896" s="44"/>
    </row>
    <row r="897" spans="4:9">
      <c r="D897" s="44"/>
      <c r="I897" s="44"/>
    </row>
    <row r="898" spans="4:9">
      <c r="D898" s="44"/>
      <c r="I898" s="44"/>
    </row>
    <row r="899" spans="4:9">
      <c r="D899" s="44"/>
      <c r="I899" s="44"/>
    </row>
    <row r="900" spans="4:9">
      <c r="D900" s="44"/>
      <c r="I900" s="44"/>
    </row>
    <row r="901" spans="4:9">
      <c r="D901" s="44"/>
      <c r="I901" s="44"/>
    </row>
    <row r="902" spans="4:9">
      <c r="D902" s="44"/>
      <c r="I902" s="44"/>
    </row>
    <row r="903" spans="4:9">
      <c r="D903" s="44"/>
      <c r="I903" s="44"/>
    </row>
    <row r="904" spans="4:9">
      <c r="D904" s="44"/>
      <c r="I904" s="44"/>
    </row>
    <row r="905" spans="4:9">
      <c r="D905" s="44"/>
      <c r="I905" s="44"/>
    </row>
    <row r="906" spans="4:9">
      <c r="D906" s="44"/>
      <c r="I906" s="44"/>
    </row>
    <row r="907" spans="4:9">
      <c r="D907" s="44"/>
      <c r="I907" s="44"/>
    </row>
    <row r="908" spans="4:9">
      <c r="D908" s="44"/>
      <c r="I908" s="44"/>
    </row>
    <row r="909" spans="4:9">
      <c r="D909" s="44"/>
      <c r="I909" s="44"/>
    </row>
    <row r="910" spans="4:9">
      <c r="D910" s="44"/>
      <c r="I910" s="44"/>
    </row>
    <row r="911" spans="4:9">
      <c r="D911" s="44"/>
      <c r="I911" s="44"/>
    </row>
    <row r="912" spans="4:9">
      <c r="D912" s="44"/>
      <c r="I912" s="44"/>
    </row>
    <row r="913" spans="4:9">
      <c r="D913" s="44"/>
      <c r="I913" s="44"/>
    </row>
    <row r="914" spans="4:9">
      <c r="D914" s="44"/>
      <c r="I914" s="44"/>
    </row>
    <row r="915" spans="4:9">
      <c r="D915" s="44"/>
      <c r="I915" s="44"/>
    </row>
    <row r="916" spans="4:9">
      <c r="D916" s="44"/>
      <c r="I916" s="44"/>
    </row>
    <row r="917" spans="4:9">
      <c r="D917" s="44"/>
      <c r="I917" s="44"/>
    </row>
    <row r="918" spans="4:9">
      <c r="D918" s="44"/>
      <c r="I918" s="44"/>
    </row>
    <row r="919" spans="4:9">
      <c r="D919" s="44"/>
      <c r="I919" s="44"/>
    </row>
    <row r="920" spans="4:9">
      <c r="D920" s="44"/>
      <c r="I920" s="44"/>
    </row>
    <row r="921" spans="4:9">
      <c r="D921" s="44"/>
      <c r="I921" s="44"/>
    </row>
    <row r="922" spans="4:9">
      <c r="D922" s="44"/>
      <c r="I922" s="44"/>
    </row>
    <row r="923" spans="4:9">
      <c r="D923" s="44"/>
      <c r="I923" s="44"/>
    </row>
    <row r="924" spans="4:9">
      <c r="D924" s="44"/>
      <c r="I924" s="44"/>
    </row>
    <row r="925" spans="4:9">
      <c r="D925" s="44"/>
      <c r="I925" s="44"/>
    </row>
    <row r="926" spans="4:9">
      <c r="D926" s="44"/>
      <c r="I926" s="44"/>
    </row>
    <row r="927" spans="4:9">
      <c r="D927" s="44"/>
      <c r="I927" s="44"/>
    </row>
    <row r="928" spans="4:9">
      <c r="D928" s="44"/>
      <c r="I928" s="44"/>
    </row>
    <row r="929" spans="4:9">
      <c r="D929" s="44"/>
      <c r="I929" s="44"/>
    </row>
    <row r="930" spans="4:9">
      <c r="D930" s="44"/>
      <c r="I930" s="44"/>
    </row>
    <row r="931" spans="4:9">
      <c r="D931" s="44"/>
      <c r="I931" s="44"/>
    </row>
    <row r="932" spans="4:9">
      <c r="D932" s="44"/>
      <c r="I932" s="44"/>
    </row>
    <row r="933" spans="4:9">
      <c r="D933" s="44"/>
      <c r="I933" s="44"/>
    </row>
    <row r="934" spans="4:9">
      <c r="D934" s="44"/>
      <c r="I934" s="44"/>
    </row>
    <row r="935" spans="4:9">
      <c r="D935" s="44"/>
      <c r="I935" s="44"/>
    </row>
    <row r="936" spans="4:9">
      <c r="D936" s="44"/>
      <c r="I936" s="44"/>
    </row>
    <row r="937" spans="4:9">
      <c r="D937" s="44"/>
      <c r="I937" s="44"/>
    </row>
    <row r="938" spans="4:9">
      <c r="D938" s="44"/>
      <c r="I938" s="44"/>
    </row>
    <row r="939" spans="4:9">
      <c r="D939" s="44"/>
      <c r="I939" s="44"/>
    </row>
    <row r="940" spans="4:9">
      <c r="D940" s="44"/>
      <c r="I940" s="44"/>
    </row>
    <row r="941" spans="4:9">
      <c r="D941" s="44"/>
      <c r="I941" s="44"/>
    </row>
    <row r="942" spans="4:9">
      <c r="D942" s="44"/>
      <c r="I942" s="44"/>
    </row>
    <row r="943" spans="4:9">
      <c r="D943" s="44"/>
      <c r="I943" s="44"/>
    </row>
    <row r="944" spans="4:9">
      <c r="D944" s="44"/>
      <c r="I944" s="44"/>
    </row>
    <row r="945" spans="4:9">
      <c r="D945" s="44"/>
      <c r="I945" s="44"/>
    </row>
    <row r="946" spans="4:9">
      <c r="D946" s="44"/>
      <c r="I946" s="44"/>
    </row>
    <row r="947" spans="4:9">
      <c r="D947" s="44"/>
      <c r="I947" s="44"/>
    </row>
    <row r="948" spans="4:9">
      <c r="D948" s="44"/>
      <c r="I948" s="44"/>
    </row>
    <row r="949" spans="4:9">
      <c r="D949" s="44"/>
      <c r="I949" s="44"/>
    </row>
    <row r="950" spans="4:9">
      <c r="D950" s="44"/>
      <c r="I950" s="44"/>
    </row>
    <row r="951" spans="4:9">
      <c r="D951" s="44"/>
      <c r="I951" s="44"/>
    </row>
    <row r="952" spans="4:9">
      <c r="D952" s="44"/>
      <c r="I952" s="44"/>
    </row>
    <row r="953" spans="4:9">
      <c r="D953" s="44"/>
      <c r="I953" s="44"/>
    </row>
    <row r="954" spans="4:9">
      <c r="D954" s="44"/>
      <c r="I954" s="44"/>
    </row>
    <row r="955" spans="4:9">
      <c r="D955" s="44"/>
      <c r="I955" s="44"/>
    </row>
    <row r="956" spans="4:9">
      <c r="D956" s="44"/>
      <c r="I956" s="44"/>
    </row>
    <row r="957" spans="4:9">
      <c r="D957" s="44"/>
      <c r="I957" s="44"/>
    </row>
    <row r="958" spans="4:9">
      <c r="D958" s="44"/>
      <c r="I958" s="44"/>
    </row>
    <row r="959" spans="4:9">
      <c r="D959" s="44"/>
      <c r="I959" s="44"/>
    </row>
    <row r="960" spans="4:9">
      <c r="D960" s="44"/>
      <c r="I960" s="44"/>
    </row>
    <row r="961" spans="4:9">
      <c r="D961" s="44"/>
      <c r="I961" s="44"/>
    </row>
    <row r="962" spans="4:9">
      <c r="D962" s="44"/>
      <c r="I962" s="44"/>
    </row>
    <row r="963" spans="4:9">
      <c r="D963" s="44"/>
      <c r="I963" s="44"/>
    </row>
    <row r="964" spans="4:9">
      <c r="D964" s="44"/>
      <c r="I964" s="44"/>
    </row>
    <row r="965" spans="4:9">
      <c r="D965" s="44"/>
      <c r="I965" s="44"/>
    </row>
    <row r="966" spans="4:9">
      <c r="D966" s="44"/>
      <c r="I966" s="44"/>
    </row>
    <row r="967" spans="4:9">
      <c r="D967" s="44"/>
      <c r="I967" s="44"/>
    </row>
    <row r="968" spans="4:9">
      <c r="D968" s="44"/>
      <c r="I968" s="44"/>
    </row>
    <row r="969" spans="4:9">
      <c r="D969" s="44"/>
      <c r="I969" s="44"/>
    </row>
    <row r="970" spans="4:9">
      <c r="D970" s="44"/>
      <c r="I970" s="44"/>
    </row>
    <row r="971" spans="4:9">
      <c r="D971" s="44"/>
      <c r="I971" s="44"/>
    </row>
    <row r="972" spans="4:9">
      <c r="D972" s="44"/>
      <c r="I972" s="44"/>
    </row>
    <row r="973" spans="4:9">
      <c r="D973" s="44"/>
      <c r="I973" s="44"/>
    </row>
    <row r="974" spans="4:9">
      <c r="D974" s="44"/>
      <c r="I974" s="44"/>
    </row>
    <row r="975" spans="4:9">
      <c r="D975" s="44"/>
      <c r="I975" s="44"/>
    </row>
    <row r="976" spans="4:9">
      <c r="D976" s="44"/>
      <c r="I976" s="44"/>
    </row>
    <row r="977" spans="4:9">
      <c r="D977" s="44"/>
      <c r="I977" s="44"/>
    </row>
    <row r="978" spans="4:9">
      <c r="D978" s="44"/>
      <c r="I978" s="44"/>
    </row>
    <row r="979" spans="4:9">
      <c r="D979" s="44"/>
      <c r="I979" s="44"/>
    </row>
    <row r="980" spans="4:9">
      <c r="D980" s="44"/>
      <c r="I980" s="44"/>
    </row>
    <row r="981" spans="4:9">
      <c r="D981" s="44"/>
      <c r="I981" s="44"/>
    </row>
    <row r="982" spans="4:9">
      <c r="D982" s="44"/>
      <c r="I982" s="44"/>
    </row>
    <row r="983" spans="4:9">
      <c r="D983" s="44"/>
      <c r="I983" s="44"/>
    </row>
    <row r="984" spans="4:9">
      <c r="D984" s="44"/>
      <c r="I984" s="44"/>
    </row>
    <row r="985" spans="4:9">
      <c r="D985" s="44"/>
      <c r="I985" s="44"/>
    </row>
    <row r="986" spans="4:9">
      <c r="D986" s="44"/>
      <c r="I986" s="44"/>
    </row>
    <row r="987" spans="4:9">
      <c r="D987" s="44"/>
      <c r="I987" s="44"/>
    </row>
    <row r="988" spans="4:9">
      <c r="D988" s="44"/>
      <c r="I988" s="44"/>
    </row>
    <row r="989" spans="4:9">
      <c r="D989" s="44"/>
      <c r="I989" s="44"/>
    </row>
    <row r="990" spans="4:9">
      <c r="D990" s="44"/>
      <c r="I990" s="44"/>
    </row>
    <row r="991" spans="4:9">
      <c r="D991" s="44"/>
      <c r="I991" s="44"/>
    </row>
    <row r="992" spans="4:9">
      <c r="D992" s="44"/>
      <c r="I992" s="44"/>
    </row>
    <row r="993" spans="4:9">
      <c r="D993" s="44"/>
      <c r="I993" s="44"/>
    </row>
    <row r="994" spans="4:9">
      <c r="D994" s="44"/>
      <c r="I994" s="44"/>
    </row>
    <row r="995" spans="4:9">
      <c r="D995" s="44"/>
      <c r="I995" s="44"/>
    </row>
    <row r="996" spans="4:9">
      <c r="D996" s="44"/>
      <c r="I996" s="44"/>
    </row>
    <row r="997" spans="4:9">
      <c r="D997" s="44"/>
      <c r="I997" s="44"/>
    </row>
    <row r="998" spans="4:9">
      <c r="D998" s="44"/>
      <c r="I998" s="44"/>
    </row>
    <row r="999" spans="4:9">
      <c r="D999" s="44"/>
      <c r="I999" s="44"/>
    </row>
    <row r="1000" spans="4:9">
      <c r="D1000" s="44"/>
      <c r="I1000" s="44"/>
    </row>
    <row r="1001" spans="4:9">
      <c r="D1001" s="44"/>
      <c r="I1001" s="44"/>
    </row>
  </sheetData>
  <mergeCells count="6">
    <mergeCell ref="I5:I6"/>
    <mergeCell ref="D5:D6"/>
    <mergeCell ref="G5:G6"/>
    <mergeCell ref="E5:E6"/>
    <mergeCell ref="H5:H6"/>
    <mergeCell ref="F5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A86E8"/>
    <outlinePr summaryBelow="0" summaryRight="0"/>
  </sheetPr>
  <dimension ref="A1:AA1001"/>
  <sheetViews>
    <sheetView workbookViewId="0"/>
  </sheetViews>
  <sheetFormatPr defaultColWidth="14.42578125" defaultRowHeight="15" customHeight="1"/>
  <cols>
    <col min="3" max="3" width="31.7109375" style="259" customWidth="1"/>
    <col min="5" max="5" width="22.5703125" style="259" customWidth="1"/>
    <col min="6" max="6" width="32" style="259" customWidth="1"/>
    <col min="8" max="8" width="31.85546875" style="259" customWidth="1"/>
    <col min="11" max="11" width="36.140625" style="259" customWidth="1"/>
    <col min="12" max="12" width="10.42578125" style="259" customWidth="1"/>
    <col min="13" max="13" width="10.5703125" style="259" customWidth="1"/>
    <col min="14" max="14" width="18.5703125" style="259" customWidth="1"/>
  </cols>
  <sheetData>
    <row r="1" spans="1:15">
      <c r="A1" s="119" t="s">
        <v>1301</v>
      </c>
      <c r="B1" s="119"/>
      <c r="C1" s="119"/>
      <c r="D1" s="119"/>
      <c r="E1" s="119"/>
      <c r="F1" s="119"/>
      <c r="G1" s="119"/>
      <c r="H1" s="119"/>
      <c r="I1" s="119"/>
      <c r="J1" s="289"/>
      <c r="K1" s="289"/>
      <c r="M1" s="290"/>
    </row>
    <row r="2" spans="1:15">
      <c r="A2" s="120" t="s">
        <v>1116</v>
      </c>
      <c r="B2" s="120" t="s">
        <v>1117</v>
      </c>
      <c r="C2" s="120" t="s">
        <v>1118</v>
      </c>
      <c r="D2" s="120" t="s">
        <v>1119</v>
      </c>
      <c r="E2" s="120" t="s">
        <v>1120</v>
      </c>
      <c r="F2" s="120" t="s">
        <v>1121</v>
      </c>
      <c r="G2" s="120" t="s">
        <v>1122</v>
      </c>
      <c r="H2" s="120" t="s">
        <v>1123</v>
      </c>
      <c r="I2" s="120" t="s">
        <v>1207</v>
      </c>
      <c r="J2" s="289"/>
      <c r="K2" s="289"/>
      <c r="M2" s="290"/>
    </row>
    <row r="3" spans="1:15">
      <c r="A3" s="153">
        <v>1</v>
      </c>
      <c r="B3" s="121" t="s">
        <v>1302</v>
      </c>
      <c r="C3" s="121" t="s">
        <v>24</v>
      </c>
      <c r="D3" s="136" t="s">
        <v>1061</v>
      </c>
      <c r="E3" s="136" t="s">
        <v>1211</v>
      </c>
      <c r="F3" s="136"/>
      <c r="G3" s="136"/>
      <c r="H3" s="136"/>
      <c r="I3" s="136"/>
      <c r="J3" s="289"/>
      <c r="K3" s="289"/>
      <c r="M3" s="290"/>
    </row>
    <row r="4" spans="1:15">
      <c r="A4" s="153">
        <v>2</v>
      </c>
      <c r="B4" s="121" t="s">
        <v>1302</v>
      </c>
      <c r="C4" s="16" t="s">
        <v>46</v>
      </c>
      <c r="D4" s="136" t="s">
        <v>1063</v>
      </c>
      <c r="E4" s="136" t="s">
        <v>1217</v>
      </c>
      <c r="F4" s="136" t="s">
        <v>1303</v>
      </c>
      <c r="G4" s="136" t="s">
        <v>1304</v>
      </c>
      <c r="H4" s="122"/>
      <c r="I4" s="136"/>
      <c r="J4" s="289"/>
      <c r="K4" s="289"/>
      <c r="M4" s="290"/>
    </row>
    <row r="5" spans="1:15" ht="36.75" customHeight="1">
      <c r="A5" s="153">
        <v>3</v>
      </c>
      <c r="B5" s="121" t="s">
        <v>1302</v>
      </c>
      <c r="C5" s="16" t="s">
        <v>52</v>
      </c>
      <c r="D5" s="136" t="s">
        <v>1305</v>
      </c>
      <c r="E5" s="136" t="s">
        <v>1217</v>
      </c>
      <c r="F5" s="136" t="s">
        <v>1303</v>
      </c>
      <c r="G5" s="136" t="s">
        <v>1306</v>
      </c>
      <c r="H5" s="136" t="s">
        <v>1307</v>
      </c>
      <c r="I5" s="136"/>
      <c r="J5" s="289"/>
      <c r="K5" s="289"/>
      <c r="M5" s="290"/>
    </row>
    <row r="6" spans="1:15" ht="36.75" customHeight="1">
      <c r="A6" s="153">
        <v>4</v>
      </c>
      <c r="B6" s="121" t="s">
        <v>1302</v>
      </c>
      <c r="C6" s="16" t="s">
        <v>52</v>
      </c>
      <c r="D6" s="136" t="s">
        <v>1308</v>
      </c>
      <c r="E6" s="136" t="s">
        <v>1217</v>
      </c>
      <c r="F6" s="136" t="s">
        <v>1303</v>
      </c>
      <c r="G6" s="136" t="s">
        <v>1309</v>
      </c>
      <c r="H6" s="136" t="s">
        <v>1310</v>
      </c>
      <c r="I6" s="136"/>
      <c r="J6" s="289"/>
      <c r="K6" s="289"/>
      <c r="M6" s="290"/>
    </row>
    <row r="7" spans="1:15" ht="36.75" customHeight="1">
      <c r="A7" s="153">
        <v>5</v>
      </c>
      <c r="B7" s="121" t="s">
        <v>1302</v>
      </c>
      <c r="C7" s="16" t="s">
        <v>52</v>
      </c>
      <c r="D7" s="136" t="s">
        <v>1311</v>
      </c>
      <c r="E7" s="136" t="s">
        <v>1217</v>
      </c>
      <c r="F7" s="136" t="s">
        <v>1303</v>
      </c>
      <c r="G7" s="136" t="s">
        <v>1312</v>
      </c>
      <c r="H7" s="136" t="s">
        <v>1313</v>
      </c>
      <c r="I7" s="136"/>
      <c r="J7" s="289"/>
      <c r="K7" s="289"/>
      <c r="M7" s="290"/>
    </row>
    <row r="8" spans="1:15" ht="36.75" customHeight="1">
      <c r="A8" s="153">
        <v>6</v>
      </c>
      <c r="B8" s="121" t="s">
        <v>1302</v>
      </c>
      <c r="C8" s="16" t="s">
        <v>57</v>
      </c>
      <c r="D8" s="136" t="s">
        <v>1314</v>
      </c>
      <c r="E8" s="136" t="s">
        <v>1217</v>
      </c>
      <c r="F8" s="136" t="s">
        <v>1303</v>
      </c>
      <c r="G8" s="136" t="s">
        <v>1315</v>
      </c>
      <c r="H8" s="136" t="s">
        <v>1316</v>
      </c>
      <c r="I8" s="136"/>
      <c r="J8" s="289"/>
      <c r="K8" s="289"/>
      <c r="M8" s="290"/>
    </row>
    <row r="9" spans="1:15">
      <c r="A9" s="153">
        <v>7</v>
      </c>
      <c r="B9" s="121" t="s">
        <v>1302</v>
      </c>
      <c r="C9" s="16" t="s">
        <v>57</v>
      </c>
      <c r="D9" s="136" t="s">
        <v>1317</v>
      </c>
      <c r="E9" s="136" t="s">
        <v>1217</v>
      </c>
      <c r="F9" s="136" t="s">
        <v>1303</v>
      </c>
      <c r="G9" s="136" t="s">
        <v>1318</v>
      </c>
      <c r="H9" s="136" t="s">
        <v>1319</v>
      </c>
      <c r="I9" s="136"/>
      <c r="J9" s="289"/>
      <c r="K9" s="289"/>
      <c r="M9" s="290"/>
    </row>
    <row r="10" spans="1:15">
      <c r="A10" s="153">
        <v>8</v>
      </c>
      <c r="B10" s="121" t="s">
        <v>1302</v>
      </c>
      <c r="C10" s="136" t="s">
        <v>30</v>
      </c>
      <c r="D10" s="136" t="s">
        <v>1320</v>
      </c>
      <c r="E10" s="136" t="s">
        <v>1217</v>
      </c>
      <c r="F10" s="136" t="s">
        <v>1321</v>
      </c>
      <c r="G10" s="136" t="s">
        <v>1322</v>
      </c>
      <c r="H10" s="136"/>
      <c r="I10" s="136"/>
      <c r="J10" s="289"/>
      <c r="K10" s="289"/>
      <c r="M10" s="290"/>
    </row>
    <row r="11" spans="1:15">
      <c r="A11" s="153">
        <v>9</v>
      </c>
      <c r="B11" s="121" t="s">
        <v>1302</v>
      </c>
      <c r="C11" s="136" t="s">
        <v>36</v>
      </c>
      <c r="D11" s="136" t="s">
        <v>1323</v>
      </c>
      <c r="E11" s="136" t="s">
        <v>1217</v>
      </c>
      <c r="F11" s="136" t="s">
        <v>1303</v>
      </c>
      <c r="G11" s="136" t="s">
        <v>1324</v>
      </c>
      <c r="H11" s="136"/>
      <c r="I11" s="136"/>
      <c r="J11" s="289"/>
      <c r="K11" s="289"/>
      <c r="M11" s="290"/>
    </row>
    <row r="12" spans="1:15">
      <c r="A12" s="289"/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M12" s="290"/>
    </row>
    <row r="13" spans="1:15">
      <c r="A13" s="289"/>
      <c r="B13" s="289"/>
      <c r="C13" s="289"/>
      <c r="D13" s="289"/>
      <c r="E13" s="136"/>
      <c r="F13" s="136"/>
      <c r="G13" s="289"/>
      <c r="H13" s="289"/>
      <c r="I13" s="289"/>
      <c r="J13" s="289"/>
      <c r="K13" s="289"/>
      <c r="M13" s="290"/>
    </row>
    <row r="14" spans="1:15">
      <c r="A14" s="119" t="s">
        <v>1058</v>
      </c>
      <c r="B14" s="119" t="s">
        <v>1059</v>
      </c>
      <c r="C14" s="119" t="s">
        <v>1065</v>
      </c>
      <c r="D14" s="119" t="s">
        <v>1066</v>
      </c>
      <c r="E14" s="119" t="s">
        <v>1067</v>
      </c>
      <c r="F14" s="119" t="s">
        <v>1068</v>
      </c>
      <c r="G14" s="119" t="s">
        <v>1069</v>
      </c>
      <c r="H14" s="119" t="s">
        <v>1070</v>
      </c>
      <c r="I14" s="119" t="s">
        <v>1071</v>
      </c>
      <c r="J14" s="119" t="s">
        <v>1072</v>
      </c>
      <c r="K14" s="119" t="s">
        <v>1073</v>
      </c>
      <c r="L14" s="13" t="s">
        <v>1325</v>
      </c>
      <c r="M14" s="290" t="s">
        <v>1326</v>
      </c>
    </row>
    <row r="15" spans="1:15">
      <c r="A15" s="123" t="s">
        <v>1302</v>
      </c>
      <c r="B15" s="123" t="s">
        <v>24</v>
      </c>
      <c r="C15" s="136" t="s">
        <v>253</v>
      </c>
      <c r="D15" s="136" t="s">
        <v>1128</v>
      </c>
      <c r="E15" s="136" t="s">
        <v>16</v>
      </c>
      <c r="F15" s="136" t="s">
        <v>847</v>
      </c>
      <c r="G15" s="136" t="s">
        <v>17</v>
      </c>
      <c r="H15" s="136" t="s">
        <v>253</v>
      </c>
      <c r="I15" s="124" t="s">
        <v>1327</v>
      </c>
      <c r="J15" s="125">
        <v>20</v>
      </c>
      <c r="K15" s="136" t="s">
        <v>1328</v>
      </c>
      <c r="L15" s="13" t="s">
        <v>736</v>
      </c>
      <c r="M15" s="290" t="s">
        <v>736</v>
      </c>
      <c r="N15" s="126" t="s">
        <v>253</v>
      </c>
      <c r="O15" s="13" t="str">
        <f>"COMMENT ON COLUMN PG_GOLD."&amp;G15&amp;"."&amp;H15&amp;" IS '"&amp;K15&amp;"';"</f>
        <v>COMMENT ON COLUMN PG_GOLD.INF_CST.CST_CODE IS 'Mã khách hàng';</v>
      </c>
    </row>
    <row r="16" spans="1:15">
      <c r="A16" s="123" t="s">
        <v>1302</v>
      </c>
      <c r="B16" s="123" t="s">
        <v>24</v>
      </c>
      <c r="C16" s="127" t="s">
        <v>1329</v>
      </c>
      <c r="D16" s="136" t="s">
        <v>1128</v>
      </c>
      <c r="E16" s="136" t="s">
        <v>16</v>
      </c>
      <c r="F16" s="136" t="s">
        <v>1330</v>
      </c>
      <c r="G16" s="136" t="s">
        <v>17</v>
      </c>
      <c r="H16" s="127" t="s">
        <v>1329</v>
      </c>
      <c r="I16" s="128" t="s">
        <v>519</v>
      </c>
      <c r="J16" s="136"/>
      <c r="K16" s="136" t="s">
        <v>1331</v>
      </c>
      <c r="L16" s="13" t="s">
        <v>736</v>
      </c>
      <c r="M16" s="290" t="s">
        <v>736</v>
      </c>
      <c r="N16" s="126" t="s">
        <v>1329</v>
      </c>
      <c r="O16" s="13" t="str">
        <f>"COMMENT ON COLUMN PG_GOLD."&amp;G16&amp;"."&amp;H16&amp;" IS '"&amp;K16&amp;"';"</f>
        <v>COMMENT ON COLUMN PG_GOLD.INF_CST.OPN_DT IS 'Ngày đăng ký';</v>
      </c>
    </row>
    <row r="17" spans="1:27">
      <c r="A17" s="129" t="s">
        <v>1302</v>
      </c>
      <c r="B17" s="129" t="s">
        <v>24</v>
      </c>
      <c r="C17" s="157" t="s">
        <v>1332</v>
      </c>
      <c r="D17" s="157" t="s">
        <v>1128</v>
      </c>
      <c r="E17" s="157" t="s">
        <v>16</v>
      </c>
      <c r="F17" s="157" t="s">
        <v>843</v>
      </c>
      <c r="G17" s="157" t="s">
        <v>17</v>
      </c>
      <c r="H17" s="157" t="s">
        <v>1332</v>
      </c>
      <c r="I17" s="130" t="s">
        <v>1327</v>
      </c>
      <c r="J17" s="131">
        <v>20</v>
      </c>
      <c r="K17" s="157" t="s">
        <v>1333</v>
      </c>
      <c r="L17" s="43"/>
      <c r="M17" s="290"/>
      <c r="N17" s="126" t="s">
        <v>1332</v>
      </c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>
      <c r="A18" s="129" t="s">
        <v>1302</v>
      </c>
      <c r="B18" s="47" t="s">
        <v>46</v>
      </c>
      <c r="C18" s="160" t="s">
        <v>1334</v>
      </c>
      <c r="D18" s="157" t="s">
        <v>1128</v>
      </c>
      <c r="E18" s="157" t="s">
        <v>16</v>
      </c>
      <c r="F18" s="157" t="s">
        <v>833</v>
      </c>
      <c r="G18" s="157" t="s">
        <v>17</v>
      </c>
      <c r="H18" s="157" t="s">
        <v>1334</v>
      </c>
      <c r="I18" s="132" t="s">
        <v>1327</v>
      </c>
      <c r="J18" s="133">
        <v>100</v>
      </c>
      <c r="K18" s="157" t="s">
        <v>1335</v>
      </c>
      <c r="L18" s="43"/>
      <c r="M18" s="290"/>
      <c r="N18" s="126" t="s">
        <v>1334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>
      <c r="A19" s="123" t="s">
        <v>1302</v>
      </c>
      <c r="B19" s="16" t="s">
        <v>46</v>
      </c>
      <c r="C19" s="136" t="s">
        <v>1336</v>
      </c>
      <c r="D19" s="136" t="s">
        <v>1128</v>
      </c>
      <c r="E19" s="136" t="s">
        <v>16</v>
      </c>
      <c r="F19" s="136" t="s">
        <v>1337</v>
      </c>
      <c r="G19" s="136" t="s">
        <v>17</v>
      </c>
      <c r="H19" s="136" t="s">
        <v>1336</v>
      </c>
      <c r="I19" s="128" t="s">
        <v>519</v>
      </c>
      <c r="J19" s="136"/>
      <c r="K19" s="136" t="s">
        <v>1338</v>
      </c>
      <c r="M19" s="290"/>
      <c r="N19" s="126" t="s">
        <v>1336</v>
      </c>
      <c r="O19" s="13" t="str">
        <f>"COMMENT ON COLUMN PG_GOLD."&amp;G19&amp;"."&amp;H19&amp;" IS '"&amp;K19&amp;"';"</f>
        <v>COMMENT ON COLUMN PG_GOLD.INF_CST.IDENTN_ISSU_DT IS 'Ngày cấp giấy tờ tùy thân';</v>
      </c>
    </row>
    <row r="20" spans="1:27">
      <c r="A20" s="123" t="s">
        <v>1302</v>
      </c>
      <c r="B20" s="123"/>
      <c r="C20" s="127" t="s">
        <v>1339</v>
      </c>
      <c r="D20" s="136"/>
      <c r="E20" s="136" t="s">
        <v>16</v>
      </c>
      <c r="F20" s="136" t="s">
        <v>1340</v>
      </c>
      <c r="G20" s="136" t="s">
        <v>17</v>
      </c>
      <c r="H20" s="136" t="s">
        <v>1341</v>
      </c>
      <c r="I20" s="136" t="s">
        <v>1327</v>
      </c>
      <c r="J20" s="136">
        <v>40</v>
      </c>
      <c r="K20" s="136" t="s">
        <v>1342</v>
      </c>
      <c r="M20" s="290"/>
      <c r="N20" s="126" t="s">
        <v>1341</v>
      </c>
      <c r="O20" s="13" t="str">
        <f>"COMMENT ON COLUMN PG_GOLD."&amp;G20&amp;"."&amp;H20&amp;" IS '"&amp;K20&amp;"';"</f>
        <v>COMMENT ON COLUMN PG_GOLD.INF_CST.BSN_RGST_NBR IS 'Số giấy phép doanh nghiệp';</v>
      </c>
    </row>
    <row r="21" spans="1:27">
      <c r="A21" s="123" t="s">
        <v>1302</v>
      </c>
      <c r="B21" s="123" t="s">
        <v>30</v>
      </c>
      <c r="C21" s="127" t="s">
        <v>1343</v>
      </c>
      <c r="D21" s="136" t="s">
        <v>1128</v>
      </c>
      <c r="E21" s="136" t="s">
        <v>16</v>
      </c>
      <c r="F21" s="136" t="s">
        <v>862</v>
      </c>
      <c r="G21" s="136" t="s">
        <v>17</v>
      </c>
      <c r="H21" s="127" t="s">
        <v>1343</v>
      </c>
      <c r="I21" s="128" t="s">
        <v>1327</v>
      </c>
      <c r="J21" s="134">
        <v>100</v>
      </c>
      <c r="K21" s="135" t="s">
        <v>866</v>
      </c>
      <c r="M21" s="290"/>
      <c r="N21" s="126" t="s">
        <v>1343</v>
      </c>
      <c r="O21" s="13" t="str">
        <f>"COMMENT ON COLUMN PG_GOLD."&amp;G21&amp;"."&amp;H21&amp;" IS '"&amp;K21&amp;"';"</f>
        <v>COMMENT ON COLUMN PG_GOLD.INF_CST.TAX_IDENTN_NBR IS 'Số seri hóa đơn';</v>
      </c>
    </row>
    <row r="22" spans="1:27">
      <c r="A22" s="123" t="s">
        <v>1302</v>
      </c>
      <c r="B22" s="123"/>
      <c r="C22" s="127" t="s">
        <v>1339</v>
      </c>
      <c r="D22" s="136"/>
      <c r="E22" s="136" t="s">
        <v>16</v>
      </c>
      <c r="F22" s="136" t="s">
        <v>1344</v>
      </c>
      <c r="G22" s="136" t="s">
        <v>17</v>
      </c>
      <c r="H22" s="136" t="s">
        <v>1345</v>
      </c>
      <c r="I22" s="136" t="s">
        <v>519</v>
      </c>
      <c r="J22" s="136"/>
      <c r="K22" s="135" t="s">
        <v>864</v>
      </c>
      <c r="M22" s="290"/>
      <c r="N22" s="126" t="s">
        <v>1345</v>
      </c>
      <c r="O22" s="13" t="str">
        <f>"COMMENT ON COLUMN PG_GOLD."&amp;G22&amp;"."&amp;H22&amp;" IS '"&amp;K22&amp;"';"</f>
        <v>COMMENT ON COLUMN PG_GOLD.INF_CST.BSN_RGST_EFF_DT IS 'Ngày phát hành hóa đơn';</v>
      </c>
    </row>
    <row r="23" spans="1:27">
      <c r="A23" s="123" t="s">
        <v>1302</v>
      </c>
      <c r="B23" s="16" t="s">
        <v>46</v>
      </c>
      <c r="C23" s="127" t="s">
        <v>1346</v>
      </c>
      <c r="D23" s="136" t="s">
        <v>1128</v>
      </c>
      <c r="E23" s="136" t="s">
        <v>16</v>
      </c>
      <c r="F23" s="136" t="s">
        <v>1347</v>
      </c>
      <c r="G23" s="136" t="s">
        <v>17</v>
      </c>
      <c r="H23" s="127" t="s">
        <v>1348</v>
      </c>
      <c r="I23" s="128" t="s">
        <v>519</v>
      </c>
      <c r="J23" s="136"/>
      <c r="K23" s="135" t="s">
        <v>1349</v>
      </c>
      <c r="M23" s="290"/>
      <c r="N23" s="126" t="s">
        <v>1348</v>
      </c>
      <c r="O23" s="13" t="str">
        <f>"COMMENT ON COLUMN PG_GOLD."&amp;G23&amp;"."&amp;H23&amp;" IS '"&amp;K23&amp;"';"</f>
        <v>COMMENT ON COLUMN PG_GOLD.INF_CST.BSN_RGST_EXPIRY_DT IS 'Ngày hêt hạn căn cước';</v>
      </c>
    </row>
    <row r="24" spans="1:27">
      <c r="A24" s="123" t="s">
        <v>1302</v>
      </c>
      <c r="B24" s="16" t="s">
        <v>30</v>
      </c>
      <c r="C24" s="127" t="s">
        <v>1350</v>
      </c>
      <c r="D24" s="136" t="s">
        <v>1128</v>
      </c>
      <c r="E24" s="136" t="s">
        <v>16</v>
      </c>
      <c r="F24" s="136" t="s">
        <v>873</v>
      </c>
      <c r="G24" s="136" t="s">
        <v>17</v>
      </c>
      <c r="H24" s="127" t="s">
        <v>1350</v>
      </c>
      <c r="I24" s="128" t="s">
        <v>1327</v>
      </c>
      <c r="J24" s="134">
        <v>20</v>
      </c>
      <c r="K24" s="136" t="s">
        <v>1351</v>
      </c>
      <c r="M24" s="290"/>
      <c r="N24" s="126" t="s">
        <v>1350</v>
      </c>
      <c r="O24" s="13" t="str">
        <f>"COMMENT ON COLUMN PG_GOLD."&amp;G24&amp;"."&amp;H24&amp;" IS '"&amp;K24&amp;"';"</f>
        <v>COMMENT ON COLUMN PG_GOLD.INF_CST.GND IS 'Giới tính';</v>
      </c>
    </row>
    <row r="25" spans="1:27">
      <c r="A25" s="129" t="s">
        <v>1302</v>
      </c>
      <c r="B25" s="129" t="s">
        <v>24</v>
      </c>
      <c r="C25" s="160" t="s">
        <v>1352</v>
      </c>
      <c r="D25" s="157" t="s">
        <v>1128</v>
      </c>
      <c r="E25" s="157" t="s">
        <v>16</v>
      </c>
      <c r="F25" s="157" t="s">
        <v>854</v>
      </c>
      <c r="G25" s="157" t="s">
        <v>17</v>
      </c>
      <c r="H25" s="157" t="s">
        <v>1353</v>
      </c>
      <c r="I25" s="130" t="s">
        <v>1327</v>
      </c>
      <c r="J25" s="131">
        <v>20</v>
      </c>
      <c r="K25" s="157" t="s">
        <v>1354</v>
      </c>
      <c r="L25" s="43"/>
      <c r="M25" s="290"/>
      <c r="N25" s="126" t="s">
        <v>1353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>
      <c r="A26" s="123" t="s">
        <v>1302</v>
      </c>
      <c r="B26" s="123"/>
      <c r="C26" s="127" t="s">
        <v>1339</v>
      </c>
      <c r="D26" s="136"/>
      <c r="E26" s="136" t="s">
        <v>16</v>
      </c>
      <c r="F26" s="136" t="s">
        <v>1355</v>
      </c>
      <c r="G26" s="136" t="s">
        <v>17</v>
      </c>
      <c r="H26" s="136" t="s">
        <v>1356</v>
      </c>
      <c r="I26" s="136" t="s">
        <v>519</v>
      </c>
      <c r="J26" s="136"/>
      <c r="K26" s="136" t="s">
        <v>1357</v>
      </c>
      <c r="M26" s="290"/>
      <c r="N26" s="126" t="s">
        <v>1356</v>
      </c>
      <c r="O26" s="13" t="str">
        <f>"COMMENT ON COLUMN PG_GOLD."&amp;G26&amp;"."&amp;H26&amp;" IS '"&amp;K26&amp;"';"</f>
        <v>COMMENT ON COLUMN PG_GOLD.INF_CST.DOB IS 'Ngày sinh';</v>
      </c>
    </row>
    <row r="27" spans="1:27">
      <c r="A27" s="129" t="s">
        <v>1302</v>
      </c>
      <c r="B27" s="129" t="s">
        <v>24</v>
      </c>
      <c r="C27" s="160" t="s">
        <v>1358</v>
      </c>
      <c r="D27" s="157" t="s">
        <v>1128</v>
      </c>
      <c r="E27" s="157" t="s">
        <v>16</v>
      </c>
      <c r="F27" s="157" t="s">
        <v>750</v>
      </c>
      <c r="G27" s="157" t="s">
        <v>17</v>
      </c>
      <c r="H27" s="157" t="s">
        <v>1358</v>
      </c>
      <c r="I27" s="130" t="s">
        <v>1327</v>
      </c>
      <c r="J27" s="131">
        <v>20</v>
      </c>
      <c r="K27" s="157" t="s">
        <v>1359</v>
      </c>
      <c r="L27" s="43"/>
      <c r="M27" s="290"/>
      <c r="N27" s="126" t="s">
        <v>1358</v>
      </c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123" t="s">
        <v>1302</v>
      </c>
      <c r="B28" s="123"/>
      <c r="C28" s="127" t="s">
        <v>1339</v>
      </c>
      <c r="D28" s="136"/>
      <c r="E28" s="136" t="s">
        <v>16</v>
      </c>
      <c r="F28" s="136" t="s">
        <v>1360</v>
      </c>
      <c r="G28" s="136" t="s">
        <v>17</v>
      </c>
      <c r="H28" s="136" t="s">
        <v>1361</v>
      </c>
      <c r="I28" s="124" t="s">
        <v>1327</v>
      </c>
      <c r="J28" s="125">
        <v>20</v>
      </c>
      <c r="K28" s="136" t="s">
        <v>1362</v>
      </c>
      <c r="M28" s="290"/>
      <c r="N28" s="126" t="s">
        <v>1361</v>
      </c>
      <c r="O28" s="13" t="str">
        <f>"COMMENT ON COLUMN PG_GOLD."&amp;G28&amp;"."&amp;H28&amp;" IS '"&amp;K28&amp;"';"</f>
        <v>COMMENT ON COLUMN PG_GOLD.INF_CST.VIP_TP_CODE IS 'Phân hạng khách hàng vip';</v>
      </c>
    </row>
    <row r="29" spans="1:27">
      <c r="A29" s="123" t="s">
        <v>1302</v>
      </c>
      <c r="B29" s="123"/>
      <c r="C29" s="127" t="s">
        <v>1339</v>
      </c>
      <c r="D29" s="136"/>
      <c r="E29" s="136" t="s">
        <v>16</v>
      </c>
      <c r="F29" s="136" t="s">
        <v>1363</v>
      </c>
      <c r="G29" s="136" t="s">
        <v>17</v>
      </c>
      <c r="H29" s="136" t="s">
        <v>1364</v>
      </c>
      <c r="I29" s="136" t="s">
        <v>519</v>
      </c>
      <c r="J29" s="136"/>
      <c r="K29" s="136" t="s">
        <v>1365</v>
      </c>
      <c r="M29" s="290"/>
      <c r="N29" s="126" t="s">
        <v>1364</v>
      </c>
      <c r="O29" s="13" t="str">
        <f>"COMMENT ON COLUMN PG_GOLD."&amp;G29&amp;"."&amp;H29&amp;" IS '"&amp;K29&amp;"';"</f>
        <v>COMMENT ON COLUMN PG_GOLD.INF_CST.VIP_EFF_DT IS 'Ngày hiệu lực khách hàng vip';</v>
      </c>
    </row>
    <row r="30" spans="1:27">
      <c r="A30" s="123" t="s">
        <v>1302</v>
      </c>
      <c r="B30" s="123"/>
      <c r="C30" s="127" t="s">
        <v>1339</v>
      </c>
      <c r="D30" s="136"/>
      <c r="E30" s="136" t="s">
        <v>16</v>
      </c>
      <c r="F30" s="136" t="s">
        <v>1366</v>
      </c>
      <c r="G30" s="136" t="s">
        <v>17</v>
      </c>
      <c r="H30" s="136" t="s">
        <v>1367</v>
      </c>
      <c r="I30" s="124" t="s">
        <v>1327</v>
      </c>
      <c r="J30" s="125">
        <v>20</v>
      </c>
      <c r="K30" s="136" t="s">
        <v>1368</v>
      </c>
      <c r="M30" s="290"/>
      <c r="N30" s="126" t="s">
        <v>1367</v>
      </c>
      <c r="O30" s="13" t="str">
        <f>"COMMENT ON COLUMN PG_GOLD."&amp;G30&amp;"."&amp;H30&amp;" IS '"&amp;K30&amp;"';"</f>
        <v>COMMENT ON COLUMN PG_GOLD.INF_CST.EMPE_CODE IS 'Mã nhân viên giới thiệu';</v>
      </c>
    </row>
    <row r="31" spans="1:27">
      <c r="A31" s="123" t="s">
        <v>1302</v>
      </c>
      <c r="B31" s="123" t="s">
        <v>24</v>
      </c>
      <c r="C31" s="127" t="s">
        <v>1369</v>
      </c>
      <c r="D31" s="136" t="s">
        <v>1128</v>
      </c>
      <c r="E31" s="136" t="s">
        <v>16</v>
      </c>
      <c r="F31" s="136" t="s">
        <v>858</v>
      </c>
      <c r="G31" s="136" t="s">
        <v>17</v>
      </c>
      <c r="H31" s="127" t="s">
        <v>1369</v>
      </c>
      <c r="I31" s="128" t="s">
        <v>1327</v>
      </c>
      <c r="J31" s="134">
        <v>255</v>
      </c>
      <c r="K31" s="136" t="s">
        <v>1370</v>
      </c>
      <c r="L31" s="13" t="s">
        <v>736</v>
      </c>
      <c r="M31" s="290" t="s">
        <v>736</v>
      </c>
      <c r="N31" s="126" t="s">
        <v>1369</v>
      </c>
      <c r="O31" s="13" t="str">
        <f>"COMMENT ON COLUMN PG_GOLD."&amp;G31&amp;"."&amp;H31&amp;" IS '"&amp;K31&amp;"';"</f>
        <v>COMMENT ON COLUMN PG_GOLD.INF_CST.SHRT_NM IS 'Tên viết tắt khách hàng';</v>
      </c>
    </row>
    <row r="32" spans="1:27">
      <c r="A32" s="123" t="s">
        <v>1302</v>
      </c>
      <c r="B32" s="123" t="s">
        <v>24</v>
      </c>
      <c r="C32" s="127" t="s">
        <v>1371</v>
      </c>
      <c r="D32" s="136" t="s">
        <v>1128</v>
      </c>
      <c r="E32" s="136" t="s">
        <v>16</v>
      </c>
      <c r="F32" s="136" t="s">
        <v>870</v>
      </c>
      <c r="G32" s="136" t="s">
        <v>17</v>
      </c>
      <c r="H32" s="127" t="s">
        <v>1371</v>
      </c>
      <c r="I32" s="128" t="s">
        <v>1327</v>
      </c>
      <c r="J32" s="134">
        <v>255</v>
      </c>
      <c r="K32" s="136" t="s">
        <v>1372</v>
      </c>
      <c r="L32" s="13" t="s">
        <v>736</v>
      </c>
      <c r="M32" s="290" t="s">
        <v>736</v>
      </c>
      <c r="N32" s="126" t="s">
        <v>1371</v>
      </c>
      <c r="O32" s="13" t="str">
        <f>"COMMENT ON COLUMN PG_GOLD."&amp;G32&amp;"."&amp;H32&amp;" IS '"&amp;K32&amp;"';"</f>
        <v>COMMENT ON COLUMN PG_GOLD.INF_CST.CST_NM IS 'Tên khách hàng đầy đủ';</v>
      </c>
    </row>
    <row r="33" spans="1:27">
      <c r="A33" s="123" t="s">
        <v>1302</v>
      </c>
      <c r="B33" s="123"/>
      <c r="C33" s="127" t="s">
        <v>1339</v>
      </c>
      <c r="D33" s="136"/>
      <c r="E33" s="136" t="s">
        <v>16</v>
      </c>
      <c r="F33" s="136" t="s">
        <v>764</v>
      </c>
      <c r="G33" s="136" t="s">
        <v>17</v>
      </c>
      <c r="H33" s="136" t="s">
        <v>246</v>
      </c>
      <c r="I33" s="136" t="s">
        <v>519</v>
      </c>
      <c r="J33" s="136"/>
      <c r="K33" s="136" t="s">
        <v>1075</v>
      </c>
      <c r="M33" s="290"/>
      <c r="N33" s="126" t="s">
        <v>246</v>
      </c>
      <c r="O33" s="13" t="str">
        <f>"COMMENT ON COLUMN PG_GOLD."&amp;G33&amp;"."&amp;H33&amp;" IS '"&amp;K33&amp;"';"</f>
        <v>COMMENT ON COLUMN PG_GOLD.INF_CST.CDR_DT IS 'Ngày dữ liệu';</v>
      </c>
    </row>
    <row r="34" spans="1:27">
      <c r="A34" s="123" t="s">
        <v>1302</v>
      </c>
      <c r="B34" s="123" t="s">
        <v>24</v>
      </c>
      <c r="C34" s="127" t="s">
        <v>275</v>
      </c>
      <c r="D34" s="136" t="s">
        <v>1128</v>
      </c>
      <c r="E34" s="136" t="s">
        <v>16</v>
      </c>
      <c r="F34" s="136" t="s">
        <v>856</v>
      </c>
      <c r="G34" s="136" t="s">
        <v>17</v>
      </c>
      <c r="H34" s="127" t="s">
        <v>275</v>
      </c>
      <c r="I34" s="128" t="s">
        <v>1327</v>
      </c>
      <c r="J34" s="134">
        <v>40</v>
      </c>
      <c r="K34" s="136" t="s">
        <v>1373</v>
      </c>
      <c r="M34" s="290"/>
      <c r="N34" s="126" t="s">
        <v>275</v>
      </c>
      <c r="O34" s="13" t="str">
        <f>"COMMENT ON COLUMN PG_GOLD."&amp;G34&amp;"."&amp;H34&amp;" IS '"&amp;K34&amp;"';"</f>
        <v>COMMENT ON COLUMN PG_GOLD.INF_CST.SCTR_CODE IS 'Mã phân loại khách hàng';</v>
      </c>
    </row>
    <row r="35" spans="1:27">
      <c r="A35" s="123" t="s">
        <v>1302</v>
      </c>
      <c r="B35" s="123" t="s">
        <v>24</v>
      </c>
      <c r="C35" s="127" t="s">
        <v>1374</v>
      </c>
      <c r="D35" s="136" t="s">
        <v>1128</v>
      </c>
      <c r="E35" s="136" t="s">
        <v>16</v>
      </c>
      <c r="F35" s="136" t="s">
        <v>810</v>
      </c>
      <c r="G35" s="136" t="s">
        <v>17</v>
      </c>
      <c r="H35" s="127" t="s">
        <v>1374</v>
      </c>
      <c r="I35" s="128" t="s">
        <v>1327</v>
      </c>
      <c r="J35" s="134">
        <v>20</v>
      </c>
      <c r="K35" s="136" t="s">
        <v>1375</v>
      </c>
      <c r="M35" s="290"/>
      <c r="N35" s="126" t="s">
        <v>1374</v>
      </c>
      <c r="O35" s="13" t="str">
        <f>"COMMENT ON COLUMN PG_GOLD."&amp;G35&amp;"."&amp;H35&amp;" IS '"&amp;K35&amp;"';"</f>
        <v>COMMENT ON COLUMN PG_GOLD.INF_CST.CST_GRP_CODE IS 'Khối quản lý khách hàng';</v>
      </c>
    </row>
    <row r="36" spans="1:27">
      <c r="A36" s="123" t="s">
        <v>1302</v>
      </c>
      <c r="B36" s="123" t="s">
        <v>24</v>
      </c>
      <c r="C36" s="127" t="s">
        <v>1376</v>
      </c>
      <c r="D36" s="136" t="s">
        <v>1128</v>
      </c>
      <c r="E36" s="136" t="s">
        <v>16</v>
      </c>
      <c r="F36" s="136" t="s">
        <v>772</v>
      </c>
      <c r="G36" s="136" t="s">
        <v>17</v>
      </c>
      <c r="H36" s="127" t="s">
        <v>1377</v>
      </c>
      <c r="I36" s="128" t="s">
        <v>1327</v>
      </c>
      <c r="J36" s="134">
        <v>20</v>
      </c>
      <c r="K36" s="136" t="s">
        <v>1378</v>
      </c>
      <c r="M36" s="290"/>
      <c r="N36" s="126" t="s">
        <v>1377</v>
      </c>
      <c r="O36" s="13" t="str">
        <f>"COMMENT ON COLUMN PG_GOLD."&amp;G36&amp;"."&amp;H36&amp;" IS '"&amp;K36&amp;"';"</f>
        <v>COMMENT ON COLUMN PG_GOLD.INF_CST.MAKER_OFCR IS 'Mã nhân viên hạch toán';</v>
      </c>
    </row>
    <row r="37" spans="1:27">
      <c r="A37" s="123" t="s">
        <v>1302</v>
      </c>
      <c r="B37" s="16" t="s">
        <v>1317</v>
      </c>
      <c r="C37" s="127" t="s">
        <v>1379</v>
      </c>
      <c r="D37" s="136" t="s">
        <v>1128</v>
      </c>
      <c r="E37" s="136" t="s">
        <v>16</v>
      </c>
      <c r="F37" s="136" t="s">
        <v>792</v>
      </c>
      <c r="G37" s="136" t="s">
        <v>17</v>
      </c>
      <c r="H37" s="24" t="s">
        <v>1379</v>
      </c>
      <c r="I37" s="128" t="s">
        <v>1327</v>
      </c>
      <c r="J37" s="134">
        <v>100</v>
      </c>
      <c r="K37" s="136" t="s">
        <v>1380</v>
      </c>
      <c r="M37" s="290"/>
      <c r="N37" s="126" t="s">
        <v>1379</v>
      </c>
      <c r="O37" s="13" t="str">
        <f>"COMMENT ON COLUMN PG_GOLD."&amp;G37&amp;"."&amp;H37&amp;" IS '"&amp;K37&amp;"';"</f>
        <v>COMMENT ON COLUMN PG_GOLD.INF_CST.CTY_NM IS 'Quốc gia cư trú hiện tại';</v>
      </c>
    </row>
    <row r="38" spans="1:27">
      <c r="A38" s="123" t="s">
        <v>1302</v>
      </c>
      <c r="B38" s="16" t="s">
        <v>30</v>
      </c>
      <c r="C38" s="127" t="s">
        <v>1381</v>
      </c>
      <c r="D38" s="136" t="s">
        <v>1128</v>
      </c>
      <c r="E38" s="136" t="s">
        <v>16</v>
      </c>
      <c r="F38" s="136" t="s">
        <v>797</v>
      </c>
      <c r="G38" s="136" t="s">
        <v>17</v>
      </c>
      <c r="H38" s="127" t="s">
        <v>1381</v>
      </c>
      <c r="I38" s="128" t="s">
        <v>1327</v>
      </c>
      <c r="J38" s="134">
        <v>20</v>
      </c>
      <c r="K38" s="136" t="s">
        <v>1382</v>
      </c>
      <c r="M38" s="290"/>
      <c r="N38" s="126" t="s">
        <v>1381</v>
      </c>
      <c r="O38" s="13" t="str">
        <f>"COMMENT ON COLUMN PG_GOLD."&amp;G38&amp;"."&amp;H38&amp;" IS '"&amp;K38&amp;"';"</f>
        <v>COMMENT ON COLUMN PG_GOLD.INF_CST.CST_ST_CODE IS 'Trạng thái khách hàng';</v>
      </c>
    </row>
    <row r="39" spans="1:27">
      <c r="A39" s="123" t="s">
        <v>1302</v>
      </c>
      <c r="B39" s="16" t="s">
        <v>1314</v>
      </c>
      <c r="C39" s="127" t="s">
        <v>1379</v>
      </c>
      <c r="D39" s="136" t="s">
        <v>1128</v>
      </c>
      <c r="E39" s="136" t="s">
        <v>16</v>
      </c>
      <c r="F39" s="136" t="s">
        <v>1383</v>
      </c>
      <c r="G39" s="136" t="s">
        <v>17</v>
      </c>
      <c r="H39" s="136" t="s">
        <v>1384</v>
      </c>
      <c r="I39" s="128" t="s">
        <v>1327</v>
      </c>
      <c r="J39" s="134">
        <v>100</v>
      </c>
      <c r="K39" s="136" t="s">
        <v>1385</v>
      </c>
      <c r="M39" s="290"/>
      <c r="N39" s="126" t="s">
        <v>1384</v>
      </c>
      <c r="O39" s="13" t="str">
        <f>"COMMENT ON COLUMN PG_GOLD."&amp;G39&amp;"."&amp;H39&amp;" IS '"&amp;K39&amp;"';"</f>
        <v>COMMENT ON COLUMN PG_GOLD.INF_CST.CTY_NM_2 IS 'Quốc gia thường trú';</v>
      </c>
    </row>
    <row r="40" spans="1:27">
      <c r="A40" s="123" t="s">
        <v>1302</v>
      </c>
      <c r="B40" s="123" t="s">
        <v>30</v>
      </c>
      <c r="C40" s="127" t="s">
        <v>1386</v>
      </c>
      <c r="D40" s="136" t="s">
        <v>1128</v>
      </c>
      <c r="E40" s="136" t="s">
        <v>16</v>
      </c>
      <c r="F40" s="136" t="s">
        <v>835</v>
      </c>
      <c r="G40" s="136" t="s">
        <v>17</v>
      </c>
      <c r="H40" s="127" t="s">
        <v>1386</v>
      </c>
      <c r="I40" s="128" t="s">
        <v>1327</v>
      </c>
      <c r="J40" s="134">
        <v>40</v>
      </c>
      <c r="K40" s="136" t="s">
        <v>1387</v>
      </c>
      <c r="M40" s="290"/>
      <c r="N40" s="126" t="s">
        <v>1386</v>
      </c>
      <c r="O40" s="13" t="str">
        <f>"COMMENT ON COLUMN PG_GOLD."&amp;G40&amp;"."&amp;H40&amp;" IS '"&amp;K40&amp;"';"</f>
        <v>COMMENT ON COLUMN PG_GOLD.INF_CST.CTY_OF_CTZN_CODE IS 'Quốc tịch';</v>
      </c>
    </row>
    <row r="41" spans="1:27">
      <c r="A41" s="123" t="s">
        <v>1302</v>
      </c>
      <c r="B41" s="31" t="s">
        <v>36</v>
      </c>
      <c r="C41" s="127" t="s">
        <v>1388</v>
      </c>
      <c r="D41" s="136" t="s">
        <v>1128</v>
      </c>
      <c r="E41" s="136" t="s">
        <v>16</v>
      </c>
      <c r="F41" s="137" t="s">
        <v>841</v>
      </c>
      <c r="G41" s="136" t="s">
        <v>17</v>
      </c>
      <c r="H41" s="127" t="s">
        <v>1388</v>
      </c>
      <c r="I41" s="128" t="s">
        <v>1327</v>
      </c>
      <c r="J41" s="134">
        <v>100</v>
      </c>
      <c r="K41" s="136" t="s">
        <v>1389</v>
      </c>
      <c r="M41" s="290"/>
      <c r="N41" s="126" t="s">
        <v>1388</v>
      </c>
      <c r="O41" s="13" t="str">
        <f>"COMMENT ON COLUMN PG_GOLD."&amp;G41&amp;"."&amp;H41&amp;" IS '"&amp;K41&amp;"';"</f>
        <v>COMMENT ON COLUMN PG_GOLD.INF_CST.OCP_CODE IS 'Nghề nghiệp khách hàng';</v>
      </c>
    </row>
    <row r="42" spans="1:27">
      <c r="A42" s="123" t="s">
        <v>1302</v>
      </c>
      <c r="B42" s="123" t="s">
        <v>1305</v>
      </c>
      <c r="C42" s="127" t="s">
        <v>1390</v>
      </c>
      <c r="D42" s="136" t="s">
        <v>1128</v>
      </c>
      <c r="E42" s="136" t="s">
        <v>16</v>
      </c>
      <c r="F42" s="136" t="s">
        <v>1391</v>
      </c>
      <c r="G42" s="136" t="s">
        <v>17</v>
      </c>
      <c r="H42" s="136" t="s">
        <v>1392</v>
      </c>
      <c r="I42" s="128" t="s">
        <v>1327</v>
      </c>
      <c r="J42" s="134">
        <v>100</v>
      </c>
      <c r="K42" s="136" t="s">
        <v>1393</v>
      </c>
      <c r="M42" s="290"/>
      <c r="N42" s="126" t="s">
        <v>1392</v>
      </c>
      <c r="O42" s="13" t="str">
        <f>"COMMENT ON COLUMN PG_GOLD."&amp;G42&amp;"."&amp;H42&amp;" IS '"&amp;K42&amp;"';"</f>
        <v>COMMENT ON COLUMN PG_GOLD.INF_CST.EMAIL_ADRESS IS 'Địa chỉ email';</v>
      </c>
    </row>
    <row r="43" spans="1:27">
      <c r="A43" s="123" t="s">
        <v>1302</v>
      </c>
      <c r="B43" s="123" t="s">
        <v>30</v>
      </c>
      <c r="C43" s="127" t="s">
        <v>1394</v>
      </c>
      <c r="D43" s="136" t="s">
        <v>1128</v>
      </c>
      <c r="E43" s="136" t="s">
        <v>16</v>
      </c>
      <c r="F43" s="136" t="s">
        <v>868</v>
      </c>
      <c r="G43" s="136" t="s">
        <v>17</v>
      </c>
      <c r="H43" s="127" t="s">
        <v>1394</v>
      </c>
      <c r="I43" s="128" t="s">
        <v>1327</v>
      </c>
      <c r="J43" s="134">
        <v>20</v>
      </c>
      <c r="K43" s="136" t="s">
        <v>1395</v>
      </c>
      <c r="M43" s="290"/>
      <c r="N43" s="126" t="s">
        <v>1394</v>
      </c>
      <c r="O43" s="13" t="str">
        <f>"COMMENT ON COLUMN PG_GOLD."&amp;G43&amp;"."&amp;H43&amp;" IS '"&amp;K43&amp;"';"</f>
        <v>COMMENT ON COLUMN PG_GOLD.INF_CST.VIP_F IS 'Đánh dấu khách hàng vip';</v>
      </c>
    </row>
    <row r="44" spans="1:27">
      <c r="A44" s="123" t="s">
        <v>1302</v>
      </c>
      <c r="B44" s="123" t="s">
        <v>30</v>
      </c>
      <c r="C44" s="127" t="s">
        <v>1396</v>
      </c>
      <c r="D44" s="136" t="s">
        <v>1128</v>
      </c>
      <c r="E44" s="136" t="s">
        <v>16</v>
      </c>
      <c r="F44" s="136" t="s">
        <v>812</v>
      </c>
      <c r="G44" s="136" t="s">
        <v>17</v>
      </c>
      <c r="H44" s="127" t="s">
        <v>1396</v>
      </c>
      <c r="I44" s="128" t="s">
        <v>1327</v>
      </c>
      <c r="J44" s="134">
        <v>20</v>
      </c>
      <c r="K44" s="19" t="s">
        <v>811</v>
      </c>
      <c r="M44" s="290"/>
      <c r="N44" s="126" t="s">
        <v>1396</v>
      </c>
      <c r="O44" s="13" t="str">
        <f>"COMMENT ON COLUMN PG_GOLD."&amp;G44&amp;"."&amp;H44&amp;" IS '"&amp;K44&amp;"';"</f>
        <v>COMMENT ON COLUMN PG_GOLD.INF_CST.KYC_CNL_CODE IS 'Kênh thực hiện KYC';</v>
      </c>
    </row>
    <row r="45" spans="1:27">
      <c r="A45" s="123" t="s">
        <v>1302</v>
      </c>
      <c r="B45" s="123" t="s">
        <v>30</v>
      </c>
      <c r="C45" s="127" t="s">
        <v>1397</v>
      </c>
      <c r="D45" s="136" t="s">
        <v>1128</v>
      </c>
      <c r="E45" s="136" t="s">
        <v>16</v>
      </c>
      <c r="F45" s="136" t="s">
        <v>775</v>
      </c>
      <c r="G45" s="136" t="s">
        <v>17</v>
      </c>
      <c r="H45" s="127" t="s">
        <v>1397</v>
      </c>
      <c r="I45" s="128" t="s">
        <v>1327</v>
      </c>
      <c r="J45" s="134">
        <v>20</v>
      </c>
      <c r="K45" s="136" t="s">
        <v>1398</v>
      </c>
      <c r="M45" s="290"/>
      <c r="N45" s="126" t="s">
        <v>1397</v>
      </c>
      <c r="O45" s="13" t="str">
        <f>"COMMENT ON COLUMN PG_GOLD."&amp;G45&amp;"."&amp;H45&amp;" IS '"&amp;K45&amp;"';"</f>
        <v>COMMENT ON COLUMN PG_GOLD.INF_CST.CST_LCS_CODE IS 'Trạng thái hoạt động';</v>
      </c>
    </row>
    <row r="46" spans="1:27">
      <c r="A46" s="123" t="s">
        <v>1302</v>
      </c>
      <c r="B46" s="16" t="s">
        <v>1314</v>
      </c>
      <c r="C46" s="127" t="s">
        <v>1399</v>
      </c>
      <c r="D46" s="136" t="s">
        <v>1128</v>
      </c>
      <c r="E46" s="136" t="s">
        <v>16</v>
      </c>
      <c r="F46" s="136" t="s">
        <v>874</v>
      </c>
      <c r="G46" s="136" t="s">
        <v>17</v>
      </c>
      <c r="H46" s="127" t="s">
        <v>1399</v>
      </c>
      <c r="I46" s="128" t="s">
        <v>1327</v>
      </c>
      <c r="J46" s="134">
        <v>100</v>
      </c>
      <c r="K46" s="19" t="s">
        <v>1400</v>
      </c>
      <c r="M46" s="290"/>
      <c r="N46" s="126" t="s">
        <v>1399</v>
      </c>
      <c r="O46" s="13" t="str">
        <f>"COMMENT ON COLUMN PG_GOLD."&amp;G46&amp;"."&amp;H46&amp;" IS '"&amp;K46&amp;"';"</f>
        <v>COMMENT ON COLUMN PG_GOLD.INF_CST.STR_NM IS 'Tên đường đầy đủ theo địa chỉ';</v>
      </c>
    </row>
    <row r="47" spans="1:27">
      <c r="A47" s="129" t="s">
        <v>1302</v>
      </c>
      <c r="B47" s="129"/>
      <c r="C47" s="160" t="s">
        <v>1339</v>
      </c>
      <c r="D47" s="157"/>
      <c r="E47" s="157" t="s">
        <v>16</v>
      </c>
      <c r="F47" s="157"/>
      <c r="G47" s="157" t="s">
        <v>17</v>
      </c>
      <c r="H47" s="157"/>
      <c r="I47" s="132" t="s">
        <v>1327</v>
      </c>
      <c r="J47" s="133">
        <v>100</v>
      </c>
      <c r="K47" s="157" t="s">
        <v>581</v>
      </c>
      <c r="L47" s="43"/>
      <c r="M47" s="291"/>
      <c r="N47" s="126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129" t="s">
        <v>1302</v>
      </c>
      <c r="B48" s="129"/>
      <c r="C48" s="160" t="s">
        <v>1339</v>
      </c>
      <c r="D48" s="157"/>
      <c r="E48" s="157" t="s">
        <v>16</v>
      </c>
      <c r="F48" s="157"/>
      <c r="G48" s="157" t="s">
        <v>17</v>
      </c>
      <c r="H48" s="157"/>
      <c r="I48" s="132" t="s">
        <v>1327</v>
      </c>
      <c r="J48" s="133">
        <v>20</v>
      </c>
      <c r="K48" s="157" t="s">
        <v>582</v>
      </c>
      <c r="L48" s="43"/>
      <c r="M48" s="291"/>
      <c r="N48" s="126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123" t="s">
        <v>1302</v>
      </c>
      <c r="B49" s="16" t="s">
        <v>46</v>
      </c>
      <c r="C49" s="127" t="s">
        <v>1401</v>
      </c>
      <c r="D49" s="136" t="s">
        <v>1128</v>
      </c>
      <c r="E49" s="136" t="s">
        <v>16</v>
      </c>
      <c r="F49" s="136" t="s">
        <v>831</v>
      </c>
      <c r="G49" s="136" t="s">
        <v>17</v>
      </c>
      <c r="H49" s="127" t="s">
        <v>1401</v>
      </c>
      <c r="I49" s="124" t="s">
        <v>1327</v>
      </c>
      <c r="J49" s="125">
        <v>20</v>
      </c>
      <c r="K49" s="19" t="s">
        <v>830</v>
      </c>
      <c r="M49" s="290"/>
      <c r="N49" s="126" t="s">
        <v>1401</v>
      </c>
      <c r="O49" s="13" t="str">
        <f>"COMMENT ON COLUMN PG_GOLD."&amp;G49&amp;"."&amp;H49&amp;" IS '"&amp;K49&amp;"';"</f>
        <v>COMMENT ON COLUMN PG_GOLD.INF_CST.IDENTN_TP_CODE IS 'Loại căn cước';</v>
      </c>
    </row>
    <row r="50" spans="1:27">
      <c r="A50" s="129" t="s">
        <v>1302</v>
      </c>
      <c r="B50" s="129"/>
      <c r="C50" s="160" t="s">
        <v>1339</v>
      </c>
      <c r="D50" s="157"/>
      <c r="E50" s="157" t="s">
        <v>16</v>
      </c>
      <c r="F50" s="157"/>
      <c r="G50" s="157" t="s">
        <v>17</v>
      </c>
      <c r="H50" s="157"/>
      <c r="I50" s="132" t="s">
        <v>1327</v>
      </c>
      <c r="J50" s="133">
        <v>100</v>
      </c>
      <c r="K50" s="157" t="s">
        <v>547</v>
      </c>
      <c r="L50" s="43"/>
      <c r="M50" s="291"/>
      <c r="N50" s="126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123" t="s">
        <v>1302</v>
      </c>
      <c r="B51" s="123" t="s">
        <v>24</v>
      </c>
      <c r="C51" s="127" t="s">
        <v>1332</v>
      </c>
      <c r="D51" s="136" t="s">
        <v>1128</v>
      </c>
      <c r="E51" s="136" t="s">
        <v>16</v>
      </c>
      <c r="F51" s="136" t="s">
        <v>843</v>
      </c>
      <c r="G51" s="136" t="s">
        <v>17</v>
      </c>
      <c r="H51" s="136" t="s">
        <v>1332</v>
      </c>
      <c r="I51" s="124" t="s">
        <v>1327</v>
      </c>
      <c r="J51" s="125">
        <v>20</v>
      </c>
      <c r="K51" s="136" t="s">
        <v>1402</v>
      </c>
      <c r="L51" s="13" t="s">
        <v>736</v>
      </c>
      <c r="M51" s="290" t="s">
        <v>736</v>
      </c>
      <c r="N51" s="126" t="s">
        <v>1332</v>
      </c>
      <c r="O51" s="13" t="str">
        <f>"COMMENT ON COLUMN PG_GOLD."&amp;G51&amp;"."&amp;H51&amp;" IS '"&amp;K51&amp;"';"</f>
        <v>COMMENT ON COLUMN PG_GOLD.INF_CST.FRST_OU_CODE IS 'Chi nhánh mở CIF';</v>
      </c>
    </row>
    <row r="52" spans="1:27">
      <c r="A52" s="123" t="s">
        <v>1302</v>
      </c>
      <c r="B52" s="123" t="s">
        <v>30</v>
      </c>
      <c r="C52" s="127" t="s">
        <v>1358</v>
      </c>
      <c r="D52" s="136" t="s">
        <v>1128</v>
      </c>
      <c r="E52" s="136" t="s">
        <v>16</v>
      </c>
      <c r="F52" s="136" t="s">
        <v>750</v>
      </c>
      <c r="G52" s="136" t="s">
        <v>17</v>
      </c>
      <c r="H52" s="136" t="s">
        <v>1358</v>
      </c>
      <c r="I52" s="124" t="s">
        <v>1327</v>
      </c>
      <c r="J52" s="125">
        <v>20</v>
      </c>
      <c r="K52" s="136" t="s">
        <v>1403</v>
      </c>
      <c r="M52" s="290"/>
      <c r="N52" s="126" t="s">
        <v>1358</v>
      </c>
      <c r="O52" s="13" t="str">
        <f>"COMMENT ON COLUMN PG_GOLD."&amp;G52&amp;"."&amp;H52&amp;" IS '"&amp;K52&amp;"';"</f>
        <v>COMMENT ON COLUMN PG_GOLD.INF_CST.OU_CODE IS 'Chi nhánh quản lý khách hàng';</v>
      </c>
    </row>
    <row r="53" spans="1:27">
      <c r="A53" s="129" t="s">
        <v>1302</v>
      </c>
      <c r="B53" s="129"/>
      <c r="C53" s="160" t="s">
        <v>1339</v>
      </c>
      <c r="D53" s="157"/>
      <c r="E53" s="157" t="s">
        <v>16</v>
      </c>
      <c r="F53" s="157"/>
      <c r="G53" s="157" t="s">
        <v>17</v>
      </c>
      <c r="H53" s="157"/>
      <c r="I53" s="157" t="s">
        <v>519</v>
      </c>
      <c r="J53" s="157"/>
      <c r="K53" s="157" t="s">
        <v>534</v>
      </c>
      <c r="L53" s="43"/>
      <c r="M53" s="291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123" t="s">
        <v>1302</v>
      </c>
      <c r="B54" s="16" t="s">
        <v>46</v>
      </c>
      <c r="C54" s="127" t="s">
        <v>1334</v>
      </c>
      <c r="D54" s="136" t="s">
        <v>1128</v>
      </c>
      <c r="E54" s="136" t="s">
        <v>16</v>
      </c>
      <c r="F54" s="136" t="s">
        <v>833</v>
      </c>
      <c r="G54" s="136" t="s">
        <v>17</v>
      </c>
      <c r="H54" s="136" t="s">
        <v>1334</v>
      </c>
      <c r="I54" s="128" t="s">
        <v>1327</v>
      </c>
      <c r="J54" s="134">
        <v>100</v>
      </c>
      <c r="K54" s="136" t="s">
        <v>1404</v>
      </c>
      <c r="M54" s="290"/>
      <c r="N54" s="136" t="s">
        <v>1334</v>
      </c>
      <c r="O54" s="13" t="str">
        <f>"COMMENT ON COLUMN PG_GOLD."&amp;G54&amp;"."&amp;H54&amp;" IS '"&amp;K54&amp;"';"</f>
        <v>COMMENT ON COLUMN PG_GOLD.INF_CST.IDENTN_NBR IS 'Mã quốc gia';</v>
      </c>
    </row>
    <row r="55" spans="1:27">
      <c r="A55" s="123" t="s">
        <v>1302</v>
      </c>
      <c r="B55" s="123" t="s">
        <v>24</v>
      </c>
      <c r="C55" s="127" t="s">
        <v>1352</v>
      </c>
      <c r="D55" s="136" t="s">
        <v>1128</v>
      </c>
      <c r="E55" s="136" t="s">
        <v>16</v>
      </c>
      <c r="F55" s="136" t="s">
        <v>854</v>
      </c>
      <c r="G55" s="136" t="s">
        <v>17</v>
      </c>
      <c r="H55" s="136" t="s">
        <v>1353</v>
      </c>
      <c r="I55" s="128" t="s">
        <v>1327</v>
      </c>
      <c r="J55" s="134">
        <v>20</v>
      </c>
      <c r="K55" s="18" t="s">
        <v>853</v>
      </c>
      <c r="M55" s="290"/>
      <c r="N55" s="136" t="s">
        <v>1353</v>
      </c>
      <c r="O55" s="13" t="str">
        <f>"COMMENT ON COLUMN PG_GOLD."&amp;G55&amp;"."&amp;H55&amp;" IS '"&amp;K55&amp;"';"</f>
        <v>COMMENT ON COLUMN PG_GOLD.INF_CST.CHKER_OFCR IS 'Mã nhân viên hạch toán thứ 2';</v>
      </c>
    </row>
    <row r="56" spans="1:27">
      <c r="A56" s="123" t="s">
        <v>1302</v>
      </c>
      <c r="B56" s="16" t="s">
        <v>46</v>
      </c>
      <c r="C56" s="127" t="s">
        <v>1405</v>
      </c>
      <c r="D56" s="136" t="s">
        <v>1128</v>
      </c>
      <c r="E56" s="136" t="s">
        <v>16</v>
      </c>
      <c r="F56" s="136" t="s">
        <v>829</v>
      </c>
      <c r="G56" s="136" t="s">
        <v>17</v>
      </c>
      <c r="H56" s="127" t="s">
        <v>1405</v>
      </c>
      <c r="I56" s="128" t="s">
        <v>1327</v>
      </c>
      <c r="J56" s="134">
        <v>20</v>
      </c>
      <c r="K56" s="18" t="s">
        <v>828</v>
      </c>
      <c r="M56" s="290"/>
      <c r="N56" s="127" t="s">
        <v>1405</v>
      </c>
      <c r="O56" s="13" t="str">
        <f>"COMMENT ON COLUMN PG_GOLD."&amp;G56&amp;"."&amp;H56&amp;" IS '"&amp;K56&amp;"';"</f>
        <v>COMMENT ON COLUMN PG_GOLD.INF_CST.ISSU_PLC_CODE IS 'Nơi cấp Căn cước';</v>
      </c>
    </row>
    <row r="57" spans="1:27">
      <c r="A57" s="129" t="s">
        <v>1302</v>
      </c>
      <c r="B57" s="129"/>
      <c r="C57" s="160" t="s">
        <v>1339</v>
      </c>
      <c r="D57" s="157"/>
      <c r="E57" s="157" t="s">
        <v>16</v>
      </c>
      <c r="F57" s="157"/>
      <c r="G57" s="157" t="s">
        <v>17</v>
      </c>
      <c r="H57" s="157"/>
      <c r="I57" s="132" t="s">
        <v>1327</v>
      </c>
      <c r="J57" s="133">
        <v>40</v>
      </c>
      <c r="K57" s="157" t="s">
        <v>538</v>
      </c>
      <c r="L57" s="43"/>
      <c r="M57" s="291"/>
      <c r="N57" s="157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123" t="s">
        <v>1302</v>
      </c>
      <c r="B58" s="123" t="s">
        <v>30</v>
      </c>
      <c r="C58" s="127" t="s">
        <v>1406</v>
      </c>
      <c r="D58" s="136" t="s">
        <v>1128</v>
      </c>
      <c r="E58" s="136" t="s">
        <v>16</v>
      </c>
      <c r="F58" s="136" t="s">
        <v>819</v>
      </c>
      <c r="G58" s="136" t="s">
        <v>17</v>
      </c>
      <c r="H58" s="127" t="s">
        <v>1406</v>
      </c>
      <c r="I58" s="128" t="s">
        <v>1327</v>
      </c>
      <c r="J58" s="134">
        <v>20</v>
      </c>
      <c r="K58" s="136" t="s">
        <v>1407</v>
      </c>
      <c r="M58" s="290"/>
      <c r="N58" s="127" t="s">
        <v>1406</v>
      </c>
      <c r="O58" s="13" t="str">
        <f>"COMMENT ON COLUMN PG_GOLD."&amp;G58&amp;"."&amp;H58&amp;" IS '"&amp;K58&amp;"';"</f>
        <v>COMMENT ON COLUMN PG_GOLD.INF_CST.MBL_BNKG_F IS 'Đánh dấu sử dụng dịch vụ mobile banking';</v>
      </c>
    </row>
    <row r="59" spans="1:27">
      <c r="A59" s="123" t="s">
        <v>1302</v>
      </c>
      <c r="B59" s="123" t="s">
        <v>30</v>
      </c>
      <c r="C59" s="127" t="s">
        <v>1408</v>
      </c>
      <c r="D59" s="136" t="s">
        <v>1128</v>
      </c>
      <c r="E59" s="136" t="s">
        <v>16</v>
      </c>
      <c r="F59" s="136" t="s">
        <v>808</v>
      </c>
      <c r="G59" s="136" t="s">
        <v>17</v>
      </c>
      <c r="H59" s="127" t="s">
        <v>1408</v>
      </c>
      <c r="I59" s="128" t="s">
        <v>1327</v>
      </c>
      <c r="J59" s="134">
        <v>20</v>
      </c>
      <c r="K59" s="136" t="s">
        <v>1409</v>
      </c>
      <c r="M59" s="290"/>
      <c r="N59" s="127" t="s">
        <v>1408</v>
      </c>
      <c r="O59" s="13" t="str">
        <f>"COMMENT ON COLUMN PG_GOLD."&amp;G59&amp;"."&amp;H59&amp;" IS '"&amp;K59&amp;"';"</f>
        <v>COMMENT ON COLUMN PG_GOLD.INF_CST.INN_BNKG_F IS 'Đánh dấu sử dụng dịch vụ internet banking';</v>
      </c>
    </row>
    <row r="60" spans="1:27">
      <c r="A60" s="123" t="s">
        <v>1302</v>
      </c>
      <c r="B60" s="123" t="s">
        <v>30</v>
      </c>
      <c r="C60" s="127" t="s">
        <v>1410</v>
      </c>
      <c r="D60" s="136" t="s">
        <v>1128</v>
      </c>
      <c r="E60" s="136" t="s">
        <v>16</v>
      </c>
      <c r="F60" s="136" t="s">
        <v>778</v>
      </c>
      <c r="G60" s="136" t="s">
        <v>17</v>
      </c>
      <c r="H60" s="127" t="s">
        <v>1410</v>
      </c>
      <c r="I60" s="128" t="s">
        <v>1327</v>
      </c>
      <c r="J60" s="134">
        <v>100</v>
      </c>
      <c r="K60" s="19" t="s">
        <v>776</v>
      </c>
      <c r="M60" s="290"/>
      <c r="N60" s="127" t="s">
        <v>1410</v>
      </c>
      <c r="O60" s="13" t="str">
        <f>"COMMENT ON COLUMN PG_GOLD."&amp;G60&amp;"."&amp;H60&amp;" IS '"&amp;K60&amp;"';"</f>
        <v>COMMENT ON COLUMN PG_GOLD.INF_CST.AML_RSLT IS 'Liên quan tới hệ thống Phòng Chống rửa tiền';</v>
      </c>
    </row>
    <row r="61" spans="1:27">
      <c r="A61" s="123" t="s">
        <v>1302</v>
      </c>
      <c r="B61" s="123" t="s">
        <v>30</v>
      </c>
      <c r="C61" s="127" t="s">
        <v>1411</v>
      </c>
      <c r="D61" s="136" t="s">
        <v>1128</v>
      </c>
      <c r="E61" s="136" t="s">
        <v>16</v>
      </c>
      <c r="F61" s="136" t="s">
        <v>777</v>
      </c>
      <c r="G61" s="136" t="s">
        <v>17</v>
      </c>
      <c r="H61" s="127" t="s">
        <v>1411</v>
      </c>
      <c r="I61" s="128" t="s">
        <v>1327</v>
      </c>
      <c r="J61" s="134">
        <v>20</v>
      </c>
      <c r="K61" s="19" t="s">
        <v>1412</v>
      </c>
      <c r="M61" s="290"/>
      <c r="N61" s="127" t="s">
        <v>1411</v>
      </c>
      <c r="O61" s="13" t="str">
        <f>"COMMENT ON COLUMN PG_GOLD."&amp;G61&amp;"."&amp;H61&amp;" IS '"&amp;K61&amp;"';"</f>
        <v>COMMENT ON COLUMN PG_GOLD.INF_CST.AML_CHK_F IS 'Đánh dấu liên quan tới hệ thống Phòng Chống rửa tiền';</v>
      </c>
    </row>
    <row r="62" spans="1:27">
      <c r="A62" s="123" t="s">
        <v>1302</v>
      </c>
      <c r="B62" s="31" t="s">
        <v>36</v>
      </c>
      <c r="C62" s="127" t="s">
        <v>1413</v>
      </c>
      <c r="D62" s="136" t="s">
        <v>1128</v>
      </c>
      <c r="E62" s="136" t="s">
        <v>16</v>
      </c>
      <c r="F62" s="136" t="s">
        <v>802</v>
      </c>
      <c r="G62" s="136" t="s">
        <v>17</v>
      </c>
      <c r="H62" s="127" t="s">
        <v>1413</v>
      </c>
      <c r="I62" s="124" t="s">
        <v>1327</v>
      </c>
      <c r="J62" s="125">
        <v>20</v>
      </c>
      <c r="K62" s="136" t="s">
        <v>1414</v>
      </c>
      <c r="M62" s="290"/>
      <c r="N62" s="127" t="s">
        <v>1413</v>
      </c>
      <c r="O62" s="13" t="str">
        <f>"COMMENT ON COLUMN PG_GOLD."&amp;G62&amp;"."&amp;H62&amp;" IS '"&amp;K62&amp;"';"</f>
        <v>COMMENT ON COLUMN PG_GOLD.INF_CST.IDV_EMP_ST_CODE IS 'Tình trạng làm việc';</v>
      </c>
    </row>
    <row r="63" spans="1:27">
      <c r="A63" s="123" t="s">
        <v>1302</v>
      </c>
      <c r="B63" s="123" t="s">
        <v>30</v>
      </c>
      <c r="C63" s="127" t="s">
        <v>1415</v>
      </c>
      <c r="D63" s="136" t="s">
        <v>1128</v>
      </c>
      <c r="E63" s="136" t="s">
        <v>16</v>
      </c>
      <c r="F63" s="136" t="s">
        <v>839</v>
      </c>
      <c r="G63" s="136" t="s">
        <v>17</v>
      </c>
      <c r="H63" s="127" t="s">
        <v>1415</v>
      </c>
      <c r="I63" s="128" t="s">
        <v>1327</v>
      </c>
      <c r="J63" s="134">
        <v>20</v>
      </c>
      <c r="K63" s="136" t="s">
        <v>1416</v>
      </c>
      <c r="M63" s="290"/>
      <c r="N63" s="127" t="s">
        <v>1415</v>
      </c>
      <c r="O63" s="13" t="str">
        <f>"COMMENT ON COLUMN PG_GOLD."&amp;G63&amp;"."&amp;H63&amp;" IS '"&amp;K63&amp;"';"</f>
        <v>COMMENT ON COLUMN PG_GOLD.INF_CST.JNT_LBY_F IS 'Đánh dấu nợ liên đới';</v>
      </c>
    </row>
    <row r="64" spans="1:27">
      <c r="A64" s="129" t="s">
        <v>1302</v>
      </c>
      <c r="B64" s="129"/>
      <c r="C64" s="160" t="s">
        <v>1339</v>
      </c>
      <c r="D64" s="157"/>
      <c r="E64" s="157" t="s">
        <v>16</v>
      </c>
      <c r="F64" s="157"/>
      <c r="G64" s="157" t="s">
        <v>17</v>
      </c>
      <c r="H64" s="157"/>
      <c r="I64" s="132" t="s">
        <v>1327</v>
      </c>
      <c r="J64" s="133">
        <v>20</v>
      </c>
      <c r="K64" s="157" t="s">
        <v>555</v>
      </c>
      <c r="L64" s="43"/>
      <c r="M64" s="291"/>
      <c r="N64" s="157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spans="1:27">
      <c r="A65" s="123" t="s">
        <v>1302</v>
      </c>
      <c r="B65" s="123" t="s">
        <v>30</v>
      </c>
      <c r="C65" s="127" t="s">
        <v>1417</v>
      </c>
      <c r="D65" s="136" t="s">
        <v>1128</v>
      </c>
      <c r="E65" s="136" t="s">
        <v>16</v>
      </c>
      <c r="F65" s="136" t="s">
        <v>780</v>
      </c>
      <c r="G65" s="136" t="s">
        <v>17</v>
      </c>
      <c r="H65" s="127" t="s">
        <v>1417</v>
      </c>
      <c r="I65" s="128" t="s">
        <v>1327</v>
      </c>
      <c r="J65" s="134">
        <v>20</v>
      </c>
      <c r="K65" s="19" t="s">
        <v>779</v>
      </c>
      <c r="M65" s="290"/>
      <c r="N65" s="127" t="s">
        <v>1417</v>
      </c>
      <c r="O65" s="13" t="str">
        <f>"COMMENT ON COLUMN PG_GOLD."&amp;G65&amp;"."&amp;H65&amp;" IS '"&amp;K65&amp;"';"</f>
        <v>COMMENT ON COLUMN PG_GOLD.INF_CST.CST_FNC_ST_CODE IS 'Nhóm nợ khách hàng Core tính';</v>
      </c>
    </row>
    <row r="66" spans="1:27">
      <c r="A66" s="123" t="s">
        <v>1302</v>
      </c>
      <c r="B66" s="31" t="s">
        <v>36</v>
      </c>
      <c r="C66" s="128" t="s">
        <v>1418</v>
      </c>
      <c r="D66" s="136"/>
      <c r="E66" s="136" t="s">
        <v>16</v>
      </c>
      <c r="F66" s="137" t="s">
        <v>837</v>
      </c>
      <c r="G66" s="136" t="s">
        <v>17</v>
      </c>
      <c r="H66" s="128" t="s">
        <v>1418</v>
      </c>
      <c r="I66" s="128" t="s">
        <v>1106</v>
      </c>
      <c r="J66" s="134">
        <v>25.5</v>
      </c>
      <c r="K66" s="19" t="s">
        <v>836</v>
      </c>
      <c r="M66" s="290"/>
      <c r="N66" s="128" t="s">
        <v>1418</v>
      </c>
      <c r="O66" s="13" t="str">
        <f>"COMMENT ON COLUMN PG_GOLD."&amp;G66&amp;"."&amp;H66&amp;" IS '"&amp;K66&amp;"';"</f>
        <v>COMMENT ON COLUMN PG_GOLD.INF_CST.ANUL_INCM IS 'Thu nhập theo tháng';</v>
      </c>
    </row>
    <row r="67" spans="1:27">
      <c r="A67" s="129" t="s">
        <v>1302</v>
      </c>
      <c r="B67" s="129"/>
      <c r="C67" s="160" t="s">
        <v>1339</v>
      </c>
      <c r="D67" s="157"/>
      <c r="E67" s="157" t="s">
        <v>16</v>
      </c>
      <c r="F67" s="157"/>
      <c r="G67" s="157" t="s">
        <v>17</v>
      </c>
      <c r="H67" s="157"/>
      <c r="I67" s="157" t="s">
        <v>519</v>
      </c>
      <c r="J67" s="157"/>
      <c r="K67" s="157" t="s">
        <v>472</v>
      </c>
      <c r="L67" s="43"/>
      <c r="M67" s="291"/>
      <c r="N67" s="157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>
      <c r="A68" s="123" t="s">
        <v>1302</v>
      </c>
      <c r="B68" s="16" t="s">
        <v>1317</v>
      </c>
      <c r="C68" s="127" t="s">
        <v>1419</v>
      </c>
      <c r="D68" s="136" t="s">
        <v>1128</v>
      </c>
      <c r="E68" s="136" t="s">
        <v>16</v>
      </c>
      <c r="F68" s="136" t="s">
        <v>1420</v>
      </c>
      <c r="G68" s="136" t="s">
        <v>17</v>
      </c>
      <c r="H68" s="136" t="s">
        <v>1419</v>
      </c>
      <c r="I68" s="128" t="s">
        <v>1327</v>
      </c>
      <c r="J68" s="134">
        <v>100</v>
      </c>
      <c r="K68" s="19" t="s">
        <v>850</v>
      </c>
      <c r="M68" s="290"/>
      <c r="N68" s="136" t="s">
        <v>1419</v>
      </c>
      <c r="O68" s="13" t="str">
        <f>"COMMENT ON COLUMN PG_GOLD."&amp;G68&amp;"."&amp;H68&amp;" IS '"&amp;K68&amp;"';"</f>
        <v>COMMENT ON COLUMN PG_GOLD.INF_CST.PROV_NM IS 'Tỉnh/thành phố nơi cư trú';</v>
      </c>
    </row>
    <row r="69" spans="1:27">
      <c r="A69" s="123" t="s">
        <v>1302</v>
      </c>
      <c r="B69" s="123" t="s">
        <v>30</v>
      </c>
      <c r="C69" s="136" t="s">
        <v>1421</v>
      </c>
      <c r="D69" s="136" t="s">
        <v>1128</v>
      </c>
      <c r="E69" s="136" t="s">
        <v>16</v>
      </c>
      <c r="F69" s="136" t="s">
        <v>795</v>
      </c>
      <c r="G69" s="136" t="s">
        <v>17</v>
      </c>
      <c r="H69" s="136" t="s">
        <v>1421</v>
      </c>
      <c r="I69" s="128" t="s">
        <v>1327</v>
      </c>
      <c r="J69" s="134">
        <v>20</v>
      </c>
      <c r="K69" s="19" t="s">
        <v>794</v>
      </c>
      <c r="M69" s="290"/>
      <c r="N69" s="136" t="s">
        <v>1421</v>
      </c>
      <c r="O69" s="13" t="str">
        <f>"COMMENT ON COLUMN PG_GOLD."&amp;G69&amp;"."&amp;H69&amp;" IS '"&amp;K69&amp;"';"</f>
        <v>COMMENT ON COLUMN PG_GOLD.INF_CST.IDY_LV1_CL_CODE IS 'Mã ngành nghê kinh tế cha';</v>
      </c>
    </row>
    <row r="70" spans="1:27">
      <c r="A70" s="123" t="s">
        <v>1302</v>
      </c>
      <c r="B70" s="123" t="s">
        <v>24</v>
      </c>
      <c r="C70" s="127" t="s">
        <v>1422</v>
      </c>
      <c r="D70" s="136" t="s">
        <v>1423</v>
      </c>
      <c r="E70" s="136" t="s">
        <v>16</v>
      </c>
      <c r="F70" s="136" t="s">
        <v>849</v>
      </c>
      <c r="G70" s="136" t="s">
        <v>17</v>
      </c>
      <c r="H70" s="127" t="s">
        <v>1422</v>
      </c>
      <c r="I70" s="128" t="s">
        <v>1327</v>
      </c>
      <c r="J70" s="134">
        <v>40</v>
      </c>
      <c r="K70" s="18" t="s">
        <v>848</v>
      </c>
      <c r="M70" s="290"/>
      <c r="N70" s="127" t="s">
        <v>1422</v>
      </c>
      <c r="O70" s="13" t="str">
        <f>"COMMENT ON COLUMN PG_GOLD."&amp;G70&amp;"."&amp;H70&amp;" IS '"&amp;K70&amp;"';"</f>
        <v>COMMENT ON COLUMN PG_GOLD.INF_CST.REFR_CODE IS 'Mã người tham chiếu/giới thiệu';</v>
      </c>
    </row>
    <row r="71" spans="1:27">
      <c r="A71" s="129" t="s">
        <v>1302</v>
      </c>
      <c r="B71" s="129"/>
      <c r="C71" s="160" t="s">
        <v>1339</v>
      </c>
      <c r="D71" s="157"/>
      <c r="E71" s="157" t="s">
        <v>16</v>
      </c>
      <c r="F71" s="157"/>
      <c r="G71" s="157" t="s">
        <v>17</v>
      </c>
      <c r="H71" s="157"/>
      <c r="I71" s="132" t="s">
        <v>1327</v>
      </c>
      <c r="J71" s="133">
        <v>100</v>
      </c>
      <c r="K71" s="157" t="s">
        <v>572</v>
      </c>
      <c r="L71" s="43"/>
      <c r="M71" s="291"/>
      <c r="N71" s="157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>
      <c r="A72" s="129" t="s">
        <v>1302</v>
      </c>
      <c r="B72" s="129"/>
      <c r="C72" s="160" t="s">
        <v>1339</v>
      </c>
      <c r="D72" s="157"/>
      <c r="E72" s="157" t="s">
        <v>16</v>
      </c>
      <c r="F72" s="157"/>
      <c r="G72" s="157" t="s">
        <v>17</v>
      </c>
      <c r="H72" s="157"/>
      <c r="I72" s="132" t="s">
        <v>1327</v>
      </c>
      <c r="J72" s="133">
        <v>100</v>
      </c>
      <c r="K72" s="157" t="s">
        <v>554</v>
      </c>
      <c r="L72" s="43"/>
      <c r="M72" s="291"/>
      <c r="N72" s="157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>
      <c r="A73" s="123" t="s">
        <v>1302</v>
      </c>
      <c r="B73" s="16" t="s">
        <v>1314</v>
      </c>
      <c r="C73" s="127" t="s">
        <v>1419</v>
      </c>
      <c r="D73" s="136" t="s">
        <v>1128</v>
      </c>
      <c r="E73" s="136" t="s">
        <v>16</v>
      </c>
      <c r="F73" s="13" t="s">
        <v>851</v>
      </c>
      <c r="G73" s="136" t="s">
        <v>17</v>
      </c>
      <c r="H73" s="136" t="s">
        <v>1424</v>
      </c>
      <c r="I73" s="128" t="s">
        <v>1327</v>
      </c>
      <c r="J73" s="134">
        <v>100</v>
      </c>
      <c r="K73" s="19" t="s">
        <v>875</v>
      </c>
      <c r="M73" s="290"/>
      <c r="N73" s="136" t="s">
        <v>1424</v>
      </c>
      <c r="O73" s="13" t="str">
        <f>"COMMENT ON COLUMN PG_GOLD."&amp;G73&amp;"."&amp;H73&amp;" IS '"&amp;K73&amp;"';"</f>
        <v>COMMENT ON COLUMN PG_GOLD.INF_CST.CITY_NM IS 'Tên thành phố theo địa chỉ';</v>
      </c>
    </row>
    <row r="74" spans="1:27">
      <c r="A74" s="123" t="s">
        <v>1302</v>
      </c>
      <c r="B74" s="123" t="s">
        <v>30</v>
      </c>
      <c r="C74" s="127" t="s">
        <v>1425</v>
      </c>
      <c r="D74" s="136" t="s">
        <v>1128</v>
      </c>
      <c r="E74" s="136" t="s">
        <v>16</v>
      </c>
      <c r="F74" s="136" t="s">
        <v>814</v>
      </c>
      <c r="G74" s="136" t="s">
        <v>17</v>
      </c>
      <c r="H74" s="127" t="s">
        <v>1425</v>
      </c>
      <c r="I74" s="128" t="s">
        <v>1327</v>
      </c>
      <c r="J74" s="134">
        <v>40</v>
      </c>
      <c r="K74" s="136" t="s">
        <v>1426</v>
      </c>
      <c r="M74" s="290"/>
      <c r="N74" s="127" t="s">
        <v>1425</v>
      </c>
      <c r="O74" s="13" t="str">
        <f>"COMMENT ON COLUMN PG_GOLD."&amp;G74&amp;"."&amp;H74&amp;" IS '"&amp;K74&amp;"';"</f>
        <v>COMMENT ON COLUMN PG_GOLD.INF_CST.VSS_CODE IS 'Mã bảo hiểm xã hội';</v>
      </c>
    </row>
    <row r="75" spans="1:27">
      <c r="A75" s="129" t="s">
        <v>1302</v>
      </c>
      <c r="B75" s="129"/>
      <c r="C75" s="160" t="s">
        <v>1339</v>
      </c>
      <c r="D75" s="157"/>
      <c r="E75" s="157" t="s">
        <v>16</v>
      </c>
      <c r="F75" s="157"/>
      <c r="G75" s="157" t="s">
        <v>17</v>
      </c>
      <c r="H75" s="157"/>
      <c r="I75" s="132" t="s">
        <v>1327</v>
      </c>
      <c r="J75" s="133">
        <v>100</v>
      </c>
      <c r="K75" s="157" t="s">
        <v>557</v>
      </c>
      <c r="L75" s="43"/>
      <c r="M75" s="291"/>
      <c r="N75" s="157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123" t="s">
        <v>1302</v>
      </c>
      <c r="B76" s="16" t="s">
        <v>1308</v>
      </c>
      <c r="C76" s="136" t="s">
        <v>1390</v>
      </c>
      <c r="D76" s="136" t="s">
        <v>1128</v>
      </c>
      <c r="E76" s="136" t="s">
        <v>16</v>
      </c>
      <c r="F76" s="136" t="s">
        <v>1427</v>
      </c>
      <c r="G76" s="136" t="s">
        <v>17</v>
      </c>
      <c r="H76" s="136" t="s">
        <v>1428</v>
      </c>
      <c r="I76" s="128" t="s">
        <v>1327</v>
      </c>
      <c r="J76" s="134">
        <v>100</v>
      </c>
      <c r="K76" s="136" t="s">
        <v>1429</v>
      </c>
      <c r="M76" s="290"/>
      <c r="N76" s="136" t="s">
        <v>1428</v>
      </c>
      <c r="O76" s="13" t="str">
        <f>"COMMENT ON COLUMN PG_GOLD."&amp;G76&amp;"."&amp;H76&amp;" IS '"&amp;K76&amp;"';"</f>
        <v>COMMENT ON COLUMN PG_GOLD.INF_CST.HM_NBR IS 'Số điện thoại nhà riêng';</v>
      </c>
    </row>
    <row r="77" spans="1:27">
      <c r="A77" s="123" t="s">
        <v>1302</v>
      </c>
      <c r="B77" s="16" t="s">
        <v>1311</v>
      </c>
      <c r="C77" s="136" t="s">
        <v>1390</v>
      </c>
      <c r="D77" s="136" t="s">
        <v>1128</v>
      </c>
      <c r="E77" s="136" t="s">
        <v>16</v>
      </c>
      <c r="F77" s="136" t="s">
        <v>1430</v>
      </c>
      <c r="G77" s="136" t="s">
        <v>17</v>
      </c>
      <c r="H77" s="136" t="s">
        <v>1431</v>
      </c>
      <c r="I77" s="128" t="s">
        <v>1327</v>
      </c>
      <c r="J77" s="134">
        <v>100</v>
      </c>
      <c r="K77" s="136" t="s">
        <v>820</v>
      </c>
      <c r="M77" s="290"/>
      <c r="N77" s="136" t="s">
        <v>1431</v>
      </c>
      <c r="O77" s="13" t="str">
        <f>"COMMENT ON COLUMN PG_GOLD."&amp;G77&amp;"."&amp;H77&amp;" IS '"&amp;K77&amp;"';"</f>
        <v>COMMENT ON COLUMN PG_GOLD.INF_CST.MBL_NBR IS 'Số điện thoại di động';</v>
      </c>
    </row>
    <row r="78" spans="1:27">
      <c r="A78" s="123" t="s">
        <v>1302</v>
      </c>
      <c r="B78" s="123" t="s">
        <v>30</v>
      </c>
      <c r="C78" s="136" t="s">
        <v>1432</v>
      </c>
      <c r="D78" s="136" t="s">
        <v>1128</v>
      </c>
      <c r="E78" s="136" t="s">
        <v>16</v>
      </c>
      <c r="F78" s="136" t="s">
        <v>816</v>
      </c>
      <c r="G78" s="136" t="s">
        <v>17</v>
      </c>
      <c r="H78" s="136" t="s">
        <v>1432</v>
      </c>
      <c r="I78" s="128" t="s">
        <v>1327</v>
      </c>
      <c r="J78" s="134">
        <v>20</v>
      </c>
      <c r="K78" s="19" t="s">
        <v>815</v>
      </c>
      <c r="M78" s="290"/>
      <c r="N78" s="136" t="s">
        <v>1432</v>
      </c>
      <c r="O78" s="13" t="str">
        <f>"COMMENT ON COLUMN PG_GOLD."&amp;G78&amp;"."&amp;H78&amp;" IS '"&amp;K78&amp;"';"</f>
        <v>COMMENT ON COLUMN PG_GOLD.INF_CST.IDY_LV2_CL_CODE IS 'Ngành nghề kinh tế';</v>
      </c>
    </row>
    <row r="79" spans="1:27">
      <c r="M79" s="290"/>
    </row>
    <row r="80" spans="1:27">
      <c r="A80" s="138" t="s">
        <v>1433</v>
      </c>
      <c r="M80" s="290"/>
    </row>
    <row r="81" spans="1:13">
      <c r="M81" s="290"/>
    </row>
    <row r="82" spans="1:13">
      <c r="A82" s="120" t="s">
        <v>1116</v>
      </c>
      <c r="B82" s="120" t="s">
        <v>1117</v>
      </c>
      <c r="C82" s="120" t="s">
        <v>1118</v>
      </c>
      <c r="D82" s="120" t="s">
        <v>1119</v>
      </c>
      <c r="E82" s="120" t="s">
        <v>1120</v>
      </c>
      <c r="F82" s="120" t="s">
        <v>1121</v>
      </c>
      <c r="G82" s="120" t="s">
        <v>1122</v>
      </c>
      <c r="H82" s="120" t="s">
        <v>1123</v>
      </c>
      <c r="I82" s="120" t="s">
        <v>1207</v>
      </c>
      <c r="J82" s="289"/>
      <c r="K82" s="289"/>
      <c r="M82" s="290"/>
    </row>
    <row r="83" spans="1:13">
      <c r="A83" s="153">
        <v>1</v>
      </c>
      <c r="B83" s="121" t="s">
        <v>1302</v>
      </c>
      <c r="C83" s="121" t="s">
        <v>24</v>
      </c>
      <c r="D83" s="136" t="s">
        <v>1061</v>
      </c>
      <c r="E83" s="136" t="s">
        <v>1211</v>
      </c>
      <c r="F83" s="136"/>
      <c r="G83" s="136"/>
      <c r="H83" s="136"/>
      <c r="I83" s="136"/>
      <c r="J83" s="289"/>
      <c r="K83" s="289"/>
      <c r="M83" s="290"/>
    </row>
    <row r="84" spans="1:13">
      <c r="A84" s="153">
        <v>2</v>
      </c>
      <c r="B84" s="121" t="s">
        <v>1302</v>
      </c>
      <c r="C84" s="16" t="s">
        <v>46</v>
      </c>
      <c r="D84" s="136" t="s">
        <v>1063</v>
      </c>
      <c r="E84" s="136" t="s">
        <v>1217</v>
      </c>
      <c r="F84" s="136" t="s">
        <v>1303</v>
      </c>
      <c r="G84" s="136" t="s">
        <v>1304</v>
      </c>
      <c r="H84" s="122"/>
      <c r="I84" s="136"/>
      <c r="J84" s="289"/>
      <c r="K84" s="289"/>
      <c r="M84" s="290"/>
    </row>
    <row r="85" spans="1:13">
      <c r="A85" s="153">
        <v>3</v>
      </c>
      <c r="B85" s="121" t="s">
        <v>1302</v>
      </c>
      <c r="C85" s="258" t="s">
        <v>52</v>
      </c>
      <c r="D85" s="136" t="s">
        <v>1305</v>
      </c>
      <c r="E85" s="136" t="s">
        <v>1217</v>
      </c>
      <c r="F85" s="136" t="s">
        <v>1303</v>
      </c>
      <c r="G85" s="136" t="s">
        <v>1306</v>
      </c>
      <c r="H85" s="136" t="s">
        <v>1307</v>
      </c>
      <c r="I85" s="136"/>
      <c r="J85" s="289"/>
      <c r="K85" s="289"/>
      <c r="M85" s="290"/>
    </row>
    <row r="86" spans="1:13">
      <c r="A86" s="153">
        <v>4</v>
      </c>
      <c r="B86" s="121" t="s">
        <v>1302</v>
      </c>
      <c r="C86" s="258" t="s">
        <v>52</v>
      </c>
      <c r="D86" s="136" t="s">
        <v>1308</v>
      </c>
      <c r="E86" s="136" t="s">
        <v>1217</v>
      </c>
      <c r="F86" s="136" t="s">
        <v>1303</v>
      </c>
      <c r="G86" s="136" t="s">
        <v>1309</v>
      </c>
      <c r="H86" s="136" t="s">
        <v>1310</v>
      </c>
      <c r="I86" s="136"/>
      <c r="J86" s="289"/>
      <c r="K86" s="289"/>
      <c r="M86" s="290"/>
    </row>
    <row r="87" spans="1:13">
      <c r="A87" s="153">
        <v>5</v>
      </c>
      <c r="B87" s="121" t="s">
        <v>1302</v>
      </c>
      <c r="C87" s="258" t="s">
        <v>52</v>
      </c>
      <c r="D87" s="136" t="s">
        <v>1311</v>
      </c>
      <c r="E87" s="136" t="s">
        <v>1217</v>
      </c>
      <c r="F87" s="136" t="s">
        <v>1303</v>
      </c>
      <c r="G87" s="136" t="s">
        <v>1312</v>
      </c>
      <c r="H87" s="136" t="s">
        <v>1313</v>
      </c>
      <c r="I87" s="136"/>
      <c r="J87" s="289"/>
      <c r="K87" s="289"/>
      <c r="M87" s="290"/>
    </row>
    <row r="88" spans="1:13">
      <c r="A88" s="153">
        <v>6</v>
      </c>
      <c r="B88" s="121" t="s">
        <v>1302</v>
      </c>
      <c r="C88" s="16" t="s">
        <v>57</v>
      </c>
      <c r="D88" s="136" t="s">
        <v>1314</v>
      </c>
      <c r="E88" s="136" t="s">
        <v>1217</v>
      </c>
      <c r="F88" s="136" t="s">
        <v>1303</v>
      </c>
      <c r="G88" s="136" t="s">
        <v>1315</v>
      </c>
      <c r="H88" s="136" t="s">
        <v>1316</v>
      </c>
      <c r="I88" s="136"/>
      <c r="J88" s="289"/>
      <c r="K88" s="289"/>
      <c r="M88" s="290"/>
    </row>
    <row r="89" spans="1:13">
      <c r="A89" s="153">
        <v>7</v>
      </c>
      <c r="B89" s="121" t="s">
        <v>1302</v>
      </c>
      <c r="C89" s="16" t="s">
        <v>57</v>
      </c>
      <c r="D89" s="136" t="s">
        <v>1317</v>
      </c>
      <c r="E89" s="136" t="s">
        <v>1217</v>
      </c>
      <c r="F89" s="136" t="s">
        <v>1303</v>
      </c>
      <c r="G89" s="136" t="s">
        <v>1318</v>
      </c>
      <c r="H89" s="136" t="s">
        <v>1319</v>
      </c>
      <c r="I89" s="136"/>
      <c r="J89" s="289"/>
      <c r="K89" s="289"/>
      <c r="M89" s="290"/>
    </row>
    <row r="90" spans="1:13">
      <c r="A90" s="153">
        <v>8</v>
      </c>
      <c r="B90" s="121" t="s">
        <v>1302</v>
      </c>
      <c r="C90" s="31" t="s">
        <v>41</v>
      </c>
      <c r="D90" s="136" t="s">
        <v>1320</v>
      </c>
      <c r="E90" s="136" t="s">
        <v>1217</v>
      </c>
      <c r="F90" s="136" t="s">
        <v>1321</v>
      </c>
      <c r="G90" s="136" t="s">
        <v>1322</v>
      </c>
      <c r="H90" s="136"/>
      <c r="I90" s="136"/>
      <c r="J90" s="289"/>
      <c r="K90" s="289"/>
      <c r="M90" s="290"/>
    </row>
    <row r="91" spans="1:13">
      <c r="A91" s="153"/>
      <c r="B91" s="121"/>
      <c r="C91" s="31"/>
      <c r="D91" s="136"/>
      <c r="E91" s="136"/>
      <c r="F91" s="136"/>
      <c r="G91" s="136"/>
      <c r="H91" s="136"/>
      <c r="I91" s="136"/>
      <c r="J91" s="289"/>
      <c r="K91" s="289"/>
      <c r="M91" s="290"/>
    </row>
    <row r="92" spans="1:13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M92" s="290"/>
    </row>
    <row r="93" spans="1:13">
      <c r="A93" s="289"/>
      <c r="B93" s="289"/>
      <c r="C93" s="289"/>
      <c r="D93" s="289"/>
      <c r="E93" s="136"/>
      <c r="F93" s="136"/>
      <c r="G93" s="289"/>
      <c r="H93" s="289"/>
      <c r="I93" s="289"/>
      <c r="J93" s="289"/>
      <c r="K93" s="289"/>
      <c r="M93" s="290"/>
    </row>
    <row r="94" spans="1:13">
      <c r="A94" s="119" t="s">
        <v>1058</v>
      </c>
      <c r="B94" s="119" t="s">
        <v>1059</v>
      </c>
      <c r="C94" s="119" t="s">
        <v>1065</v>
      </c>
      <c r="D94" s="119" t="s">
        <v>1066</v>
      </c>
      <c r="E94" s="119" t="s">
        <v>1067</v>
      </c>
      <c r="F94" s="119" t="s">
        <v>1068</v>
      </c>
      <c r="G94" s="119" t="s">
        <v>1069</v>
      </c>
      <c r="H94" s="119" t="s">
        <v>1070</v>
      </c>
      <c r="I94" s="119" t="s">
        <v>1071</v>
      </c>
      <c r="J94" s="119" t="s">
        <v>1072</v>
      </c>
      <c r="K94" s="119" t="s">
        <v>1073</v>
      </c>
      <c r="M94" s="290"/>
    </row>
    <row r="95" spans="1:13">
      <c r="A95" s="123" t="s">
        <v>1302</v>
      </c>
      <c r="B95" s="123" t="s">
        <v>24</v>
      </c>
      <c r="C95" s="136" t="s">
        <v>253</v>
      </c>
      <c r="D95" s="136" t="s">
        <v>1128</v>
      </c>
      <c r="E95" s="136" t="s">
        <v>16</v>
      </c>
      <c r="F95" s="136" t="s">
        <v>847</v>
      </c>
      <c r="G95" s="136" t="s">
        <v>17</v>
      </c>
      <c r="H95" s="136" t="s">
        <v>253</v>
      </c>
      <c r="I95" s="124" t="s">
        <v>1327</v>
      </c>
      <c r="J95" s="125">
        <v>20</v>
      </c>
      <c r="K95" s="136" t="s">
        <v>1434</v>
      </c>
      <c r="M95" s="290"/>
    </row>
    <row r="96" spans="1:13">
      <c r="A96" s="123" t="s">
        <v>1302</v>
      </c>
      <c r="B96" s="123" t="s">
        <v>24</v>
      </c>
      <c r="C96" s="127" t="s">
        <v>1329</v>
      </c>
      <c r="D96" s="136" t="s">
        <v>1128</v>
      </c>
      <c r="E96" s="136" t="s">
        <v>16</v>
      </c>
      <c r="F96" s="136" t="s">
        <v>1330</v>
      </c>
      <c r="G96" s="136" t="s">
        <v>17</v>
      </c>
      <c r="H96" s="127" t="s">
        <v>1329</v>
      </c>
      <c r="I96" s="128" t="s">
        <v>519</v>
      </c>
      <c r="J96" s="136"/>
      <c r="K96" s="136" t="s">
        <v>1435</v>
      </c>
      <c r="M96" s="290"/>
    </row>
    <row r="97" spans="1:27">
      <c r="A97" s="129" t="s">
        <v>1302</v>
      </c>
      <c r="B97" s="129" t="s">
        <v>24</v>
      </c>
      <c r="C97" s="157" t="s">
        <v>1332</v>
      </c>
      <c r="D97" s="157" t="s">
        <v>1128</v>
      </c>
      <c r="E97" s="157" t="s">
        <v>16</v>
      </c>
      <c r="F97" s="157" t="s">
        <v>843</v>
      </c>
      <c r="G97" s="157" t="s">
        <v>17</v>
      </c>
      <c r="H97" s="157" t="s">
        <v>1332</v>
      </c>
      <c r="I97" s="130" t="s">
        <v>1327</v>
      </c>
      <c r="J97" s="131">
        <v>20</v>
      </c>
      <c r="K97" s="157" t="s">
        <v>1333</v>
      </c>
      <c r="L97" s="43"/>
      <c r="M97" s="290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spans="1:27">
      <c r="A98" s="129" t="s">
        <v>1302</v>
      </c>
      <c r="B98" s="47" t="s">
        <v>46</v>
      </c>
      <c r="C98" s="160" t="s">
        <v>1334</v>
      </c>
      <c r="D98" s="157" t="s">
        <v>1128</v>
      </c>
      <c r="E98" s="157" t="s">
        <v>16</v>
      </c>
      <c r="F98" s="157" t="s">
        <v>833</v>
      </c>
      <c r="G98" s="157" t="s">
        <v>17</v>
      </c>
      <c r="H98" s="157" t="s">
        <v>1334</v>
      </c>
      <c r="I98" s="132" t="s">
        <v>1327</v>
      </c>
      <c r="J98" s="133">
        <v>100</v>
      </c>
      <c r="K98" s="157" t="s">
        <v>1335</v>
      </c>
      <c r="L98" s="43"/>
      <c r="M98" s="290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spans="1:27">
      <c r="A99" s="123" t="s">
        <v>1302</v>
      </c>
      <c r="B99" s="16" t="s">
        <v>46</v>
      </c>
      <c r="C99" s="136" t="s">
        <v>1336</v>
      </c>
      <c r="D99" s="136" t="s">
        <v>1128</v>
      </c>
      <c r="E99" s="136" t="s">
        <v>16</v>
      </c>
      <c r="F99" s="136" t="s">
        <v>1337</v>
      </c>
      <c r="G99" s="136" t="s">
        <v>17</v>
      </c>
      <c r="H99" s="136" t="s">
        <v>1336</v>
      </c>
      <c r="I99" s="128" t="s">
        <v>519</v>
      </c>
      <c r="J99" s="136"/>
      <c r="K99" s="136" t="s">
        <v>1436</v>
      </c>
      <c r="M99" s="290"/>
    </row>
    <row r="100" spans="1:27">
      <c r="A100" s="123" t="s">
        <v>1302</v>
      </c>
      <c r="B100" s="123"/>
      <c r="C100" s="127" t="s">
        <v>1339</v>
      </c>
      <c r="D100" s="136"/>
      <c r="E100" s="136" t="s">
        <v>16</v>
      </c>
      <c r="F100" s="136" t="s">
        <v>1340</v>
      </c>
      <c r="G100" s="136" t="s">
        <v>17</v>
      </c>
      <c r="H100" s="136" t="s">
        <v>1341</v>
      </c>
      <c r="I100" s="136" t="s">
        <v>1327</v>
      </c>
      <c r="J100" s="136">
        <v>40</v>
      </c>
      <c r="K100" s="136" t="s">
        <v>1437</v>
      </c>
      <c r="M100" s="290"/>
    </row>
    <row r="101" spans="1:27">
      <c r="A101" s="123" t="s">
        <v>1302</v>
      </c>
      <c r="B101" s="123" t="s">
        <v>41</v>
      </c>
      <c r="C101" s="127" t="s">
        <v>1343</v>
      </c>
      <c r="D101" s="136" t="s">
        <v>1128</v>
      </c>
      <c r="E101" s="136" t="s">
        <v>16</v>
      </c>
      <c r="F101" s="136" t="s">
        <v>862</v>
      </c>
      <c r="G101" s="136" t="s">
        <v>17</v>
      </c>
      <c r="H101" s="127" t="s">
        <v>1343</v>
      </c>
      <c r="I101" s="128" t="s">
        <v>1327</v>
      </c>
      <c r="J101" s="134">
        <v>100</v>
      </c>
      <c r="K101" s="136" t="s">
        <v>1438</v>
      </c>
      <c r="M101" s="290"/>
    </row>
    <row r="102" spans="1:27">
      <c r="A102" s="123" t="s">
        <v>1302</v>
      </c>
      <c r="B102" s="123"/>
      <c r="C102" s="127" t="s">
        <v>1339</v>
      </c>
      <c r="D102" s="136"/>
      <c r="E102" s="136" t="s">
        <v>16</v>
      </c>
      <c r="F102" s="136" t="s">
        <v>1344</v>
      </c>
      <c r="G102" s="136" t="s">
        <v>17</v>
      </c>
      <c r="H102" s="136" t="s">
        <v>1345</v>
      </c>
      <c r="I102" s="136" t="s">
        <v>519</v>
      </c>
      <c r="J102" s="136"/>
      <c r="K102" s="136" t="s">
        <v>1439</v>
      </c>
      <c r="M102" s="290"/>
    </row>
    <row r="103" spans="1:27">
      <c r="A103" s="123" t="s">
        <v>1302</v>
      </c>
      <c r="B103" s="16" t="s">
        <v>46</v>
      </c>
      <c r="C103" s="127" t="s">
        <v>1346</v>
      </c>
      <c r="D103" s="136" t="s">
        <v>1128</v>
      </c>
      <c r="E103" s="136" t="s">
        <v>16</v>
      </c>
      <c r="F103" s="136" t="s">
        <v>1347</v>
      </c>
      <c r="G103" s="136" t="s">
        <v>17</v>
      </c>
      <c r="H103" s="127" t="s">
        <v>1348</v>
      </c>
      <c r="I103" s="128" t="s">
        <v>519</v>
      </c>
      <c r="J103" s="136"/>
      <c r="K103" s="136" t="s">
        <v>1440</v>
      </c>
      <c r="M103" s="290"/>
    </row>
    <row r="104" spans="1:27">
      <c r="A104" s="123" t="s">
        <v>1302</v>
      </c>
      <c r="B104" s="16"/>
      <c r="C104" s="127" t="s">
        <v>1339</v>
      </c>
      <c r="D104" s="136"/>
      <c r="E104" s="136" t="s">
        <v>16</v>
      </c>
      <c r="F104" s="136" t="s">
        <v>873</v>
      </c>
      <c r="G104" s="136" t="s">
        <v>17</v>
      </c>
      <c r="H104" s="127" t="s">
        <v>1350</v>
      </c>
      <c r="I104" s="128" t="s">
        <v>1327</v>
      </c>
      <c r="J104" s="134">
        <v>20</v>
      </c>
      <c r="K104" s="136" t="s">
        <v>1441</v>
      </c>
      <c r="M104" s="290"/>
    </row>
    <row r="105" spans="1:27">
      <c r="A105" s="123" t="s">
        <v>1302</v>
      </c>
      <c r="B105" s="123"/>
      <c r="C105" s="127" t="s">
        <v>1339</v>
      </c>
      <c r="D105" s="136"/>
      <c r="E105" s="136" t="s">
        <v>16</v>
      </c>
      <c r="F105" s="136"/>
      <c r="G105" s="136"/>
      <c r="H105" s="136"/>
      <c r="I105" s="124" t="s">
        <v>1327</v>
      </c>
      <c r="J105" s="125">
        <v>20</v>
      </c>
      <c r="K105" s="136" t="s">
        <v>1442</v>
      </c>
      <c r="M105" s="290"/>
    </row>
    <row r="106" spans="1:27">
      <c r="A106" s="129" t="s">
        <v>1302</v>
      </c>
      <c r="B106" s="129" t="s">
        <v>24</v>
      </c>
      <c r="C106" s="160" t="s">
        <v>1352</v>
      </c>
      <c r="D106" s="157" t="s">
        <v>1128</v>
      </c>
      <c r="E106" s="157" t="s">
        <v>16</v>
      </c>
      <c r="F106" s="157" t="s">
        <v>854</v>
      </c>
      <c r="G106" s="157" t="s">
        <v>17</v>
      </c>
      <c r="H106" s="157" t="s">
        <v>1353</v>
      </c>
      <c r="I106" s="130" t="s">
        <v>1327</v>
      </c>
      <c r="J106" s="131">
        <v>20</v>
      </c>
      <c r="K106" s="157" t="s">
        <v>1354</v>
      </c>
      <c r="L106" s="43"/>
      <c r="M106" s="290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spans="1:27">
      <c r="A107" s="123" t="s">
        <v>1302</v>
      </c>
      <c r="B107" s="123" t="s">
        <v>41</v>
      </c>
      <c r="C107" s="127" t="s">
        <v>1443</v>
      </c>
      <c r="D107" s="136" t="s">
        <v>1128</v>
      </c>
      <c r="E107" s="136" t="s">
        <v>16</v>
      </c>
      <c r="F107" s="136" t="s">
        <v>1355</v>
      </c>
      <c r="G107" s="136" t="s">
        <v>17</v>
      </c>
      <c r="H107" s="136" t="s">
        <v>1356</v>
      </c>
      <c r="I107" s="124" t="s">
        <v>1327</v>
      </c>
      <c r="J107" s="125">
        <v>20</v>
      </c>
      <c r="K107" s="136" t="s">
        <v>1444</v>
      </c>
      <c r="M107" s="290"/>
    </row>
    <row r="108" spans="1:27">
      <c r="A108" s="129" t="s">
        <v>1302</v>
      </c>
      <c r="B108" s="129" t="s">
        <v>24</v>
      </c>
      <c r="C108" s="160" t="s">
        <v>1358</v>
      </c>
      <c r="D108" s="157" t="s">
        <v>1128</v>
      </c>
      <c r="E108" s="157" t="s">
        <v>16</v>
      </c>
      <c r="F108" s="157" t="s">
        <v>750</v>
      </c>
      <c r="G108" s="157" t="s">
        <v>17</v>
      </c>
      <c r="H108" s="157" t="s">
        <v>1358</v>
      </c>
      <c r="I108" s="157" t="s">
        <v>519</v>
      </c>
      <c r="J108" s="157"/>
      <c r="K108" s="157" t="s">
        <v>1359</v>
      </c>
      <c r="L108" s="43"/>
      <c r="M108" s="290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spans="1:27">
      <c r="A109" s="123" t="s">
        <v>1302</v>
      </c>
      <c r="B109" s="123"/>
      <c r="C109" s="127" t="s">
        <v>1339</v>
      </c>
      <c r="D109" s="136"/>
      <c r="E109" s="136" t="s">
        <v>16</v>
      </c>
      <c r="F109" s="136" t="s">
        <v>1360</v>
      </c>
      <c r="G109" s="136" t="s">
        <v>17</v>
      </c>
      <c r="H109" s="136" t="s">
        <v>1361</v>
      </c>
      <c r="I109" s="124" t="s">
        <v>1327</v>
      </c>
      <c r="J109" s="125">
        <v>20</v>
      </c>
      <c r="K109" s="136" t="s">
        <v>1445</v>
      </c>
      <c r="M109" s="290"/>
    </row>
    <row r="110" spans="1:27">
      <c r="A110" s="123" t="s">
        <v>1302</v>
      </c>
      <c r="B110" s="123"/>
      <c r="C110" s="127" t="s">
        <v>1339</v>
      </c>
      <c r="D110" s="136"/>
      <c r="E110" s="136" t="s">
        <v>16</v>
      </c>
      <c r="F110" s="136" t="s">
        <v>1363</v>
      </c>
      <c r="G110" s="136" t="s">
        <v>17</v>
      </c>
      <c r="H110" s="136" t="s">
        <v>1364</v>
      </c>
      <c r="I110" s="124" t="s">
        <v>1327</v>
      </c>
      <c r="J110" s="125">
        <v>20</v>
      </c>
      <c r="K110" s="136" t="s">
        <v>1446</v>
      </c>
      <c r="M110" s="290"/>
    </row>
    <row r="111" spans="1:27">
      <c r="A111" s="123" t="s">
        <v>1302</v>
      </c>
      <c r="B111" s="123"/>
      <c r="C111" s="127" t="s">
        <v>1339</v>
      </c>
      <c r="D111" s="136"/>
      <c r="E111" s="136" t="s">
        <v>16</v>
      </c>
      <c r="F111" s="136" t="s">
        <v>1366</v>
      </c>
      <c r="G111" s="136" t="s">
        <v>17</v>
      </c>
      <c r="H111" s="136" t="s">
        <v>1367</v>
      </c>
      <c r="I111" s="136" t="s">
        <v>519</v>
      </c>
      <c r="J111" s="136"/>
      <c r="K111" s="136" t="s">
        <v>1447</v>
      </c>
      <c r="M111" s="290"/>
    </row>
    <row r="112" spans="1:27">
      <c r="A112" s="123" t="s">
        <v>1302</v>
      </c>
      <c r="B112" s="123" t="s">
        <v>24</v>
      </c>
      <c r="C112" s="127" t="s">
        <v>1369</v>
      </c>
      <c r="D112" s="136" t="s">
        <v>1128</v>
      </c>
      <c r="E112" s="136" t="s">
        <v>16</v>
      </c>
      <c r="F112" s="136" t="s">
        <v>858</v>
      </c>
      <c r="G112" s="136" t="s">
        <v>17</v>
      </c>
      <c r="H112" s="127" t="s">
        <v>1369</v>
      </c>
      <c r="I112" s="124" t="s">
        <v>1327</v>
      </c>
      <c r="J112" s="125">
        <v>20</v>
      </c>
      <c r="K112" s="136" t="s">
        <v>580</v>
      </c>
      <c r="M112" s="290"/>
    </row>
    <row r="113" spans="1:27">
      <c r="A113" s="123" t="s">
        <v>1302</v>
      </c>
      <c r="B113" s="123" t="s">
        <v>24</v>
      </c>
      <c r="C113" s="127" t="s">
        <v>1371</v>
      </c>
      <c r="D113" s="136" t="s">
        <v>1128</v>
      </c>
      <c r="E113" s="136" t="s">
        <v>16</v>
      </c>
      <c r="F113" s="136" t="s">
        <v>870</v>
      </c>
      <c r="G113" s="136" t="s">
        <v>17</v>
      </c>
      <c r="H113" s="127" t="s">
        <v>1371</v>
      </c>
      <c r="I113" s="128" t="s">
        <v>1327</v>
      </c>
      <c r="J113" s="134">
        <v>255</v>
      </c>
      <c r="K113" s="136" t="s">
        <v>587</v>
      </c>
      <c r="M113" s="290"/>
    </row>
    <row r="114" spans="1:27">
      <c r="A114" s="123" t="s">
        <v>1302</v>
      </c>
      <c r="B114" s="123"/>
      <c r="C114" s="127" t="s">
        <v>1339</v>
      </c>
      <c r="D114" s="136"/>
      <c r="E114" s="136" t="s">
        <v>16</v>
      </c>
      <c r="F114" s="136" t="s">
        <v>764</v>
      </c>
      <c r="G114" s="136" t="s">
        <v>17</v>
      </c>
      <c r="H114" s="136" t="s">
        <v>246</v>
      </c>
      <c r="I114" s="128" t="s">
        <v>1327</v>
      </c>
      <c r="J114" s="134">
        <v>255</v>
      </c>
      <c r="K114" s="136" t="s">
        <v>503</v>
      </c>
      <c r="M114" s="290"/>
    </row>
    <row r="115" spans="1:27">
      <c r="A115" s="123" t="s">
        <v>1302</v>
      </c>
      <c r="B115" s="123" t="s">
        <v>24</v>
      </c>
      <c r="C115" s="127" t="s">
        <v>275</v>
      </c>
      <c r="D115" s="136" t="s">
        <v>1128</v>
      </c>
      <c r="E115" s="136" t="s">
        <v>16</v>
      </c>
      <c r="F115" s="136" t="s">
        <v>856</v>
      </c>
      <c r="G115" s="136" t="s">
        <v>17</v>
      </c>
      <c r="H115" s="127" t="s">
        <v>275</v>
      </c>
      <c r="I115" s="136" t="s">
        <v>519</v>
      </c>
      <c r="J115" s="136"/>
      <c r="K115" s="136" t="s">
        <v>579</v>
      </c>
      <c r="M115" s="290"/>
    </row>
    <row r="116" spans="1:27">
      <c r="A116" s="123" t="s">
        <v>1302</v>
      </c>
      <c r="B116" s="123" t="s">
        <v>24</v>
      </c>
      <c r="C116" s="127" t="s">
        <v>1374</v>
      </c>
      <c r="D116" s="136" t="s">
        <v>1128</v>
      </c>
      <c r="E116" s="136" t="s">
        <v>16</v>
      </c>
      <c r="F116" s="136" t="s">
        <v>810</v>
      </c>
      <c r="G116" s="136" t="s">
        <v>17</v>
      </c>
      <c r="H116" s="127" t="s">
        <v>1374</v>
      </c>
      <c r="I116" s="128" t="s">
        <v>1327</v>
      </c>
      <c r="J116" s="134">
        <v>40</v>
      </c>
      <c r="K116" s="136" t="s">
        <v>551</v>
      </c>
      <c r="M116" s="290"/>
    </row>
    <row r="117" spans="1:27">
      <c r="A117" s="123" t="s">
        <v>1302</v>
      </c>
      <c r="B117" s="123" t="s">
        <v>24</v>
      </c>
      <c r="C117" s="127" t="s">
        <v>1376</v>
      </c>
      <c r="D117" s="136" t="s">
        <v>1128</v>
      </c>
      <c r="E117" s="136" t="s">
        <v>16</v>
      </c>
      <c r="F117" s="136" t="s">
        <v>772</v>
      </c>
      <c r="G117" s="136" t="s">
        <v>17</v>
      </c>
      <c r="H117" s="127" t="s">
        <v>1377</v>
      </c>
      <c r="I117" s="128" t="s">
        <v>1327</v>
      </c>
      <c r="J117" s="134">
        <v>20</v>
      </c>
      <c r="K117" s="136" t="s">
        <v>529</v>
      </c>
      <c r="M117" s="290"/>
    </row>
    <row r="118" spans="1:27">
      <c r="A118" s="123" t="s">
        <v>1302</v>
      </c>
      <c r="B118" s="16" t="s">
        <v>1317</v>
      </c>
      <c r="C118" s="127" t="s">
        <v>1379</v>
      </c>
      <c r="D118" s="136" t="s">
        <v>1128</v>
      </c>
      <c r="E118" s="136" t="s">
        <v>16</v>
      </c>
      <c r="F118" s="136" t="s">
        <v>792</v>
      </c>
      <c r="G118" s="136" t="s">
        <v>17</v>
      </c>
      <c r="H118" s="24" t="s">
        <v>1379</v>
      </c>
      <c r="I118" s="128" t="s">
        <v>1327</v>
      </c>
      <c r="J118" s="134">
        <v>20</v>
      </c>
      <c r="K118" s="136" t="s">
        <v>576</v>
      </c>
      <c r="M118" s="290"/>
    </row>
    <row r="119" spans="1:27">
      <c r="A119" s="123" t="s">
        <v>1302</v>
      </c>
      <c r="B119" s="16" t="s">
        <v>41</v>
      </c>
      <c r="C119" s="127" t="s">
        <v>1381</v>
      </c>
      <c r="D119" s="136" t="s">
        <v>1128</v>
      </c>
      <c r="E119" s="136" t="s">
        <v>16</v>
      </c>
      <c r="F119" s="136" t="s">
        <v>797</v>
      </c>
      <c r="G119" s="136" t="s">
        <v>17</v>
      </c>
      <c r="H119" s="127" t="s">
        <v>1381</v>
      </c>
      <c r="I119" s="128" t="s">
        <v>1327</v>
      </c>
      <c r="J119" s="134">
        <v>100</v>
      </c>
      <c r="K119" s="136" t="s">
        <v>542</v>
      </c>
      <c r="M119" s="290"/>
    </row>
    <row r="120" spans="1:27">
      <c r="A120" s="123" t="s">
        <v>1302</v>
      </c>
      <c r="B120" s="16" t="s">
        <v>1314</v>
      </c>
      <c r="C120" s="127" t="s">
        <v>1379</v>
      </c>
      <c r="D120" s="136" t="s">
        <v>1128</v>
      </c>
      <c r="E120" s="136" t="s">
        <v>16</v>
      </c>
      <c r="F120" s="136" t="s">
        <v>792</v>
      </c>
      <c r="G120" s="136" t="s">
        <v>17</v>
      </c>
      <c r="H120" s="136" t="s">
        <v>1379</v>
      </c>
      <c r="I120" s="128" t="s">
        <v>1327</v>
      </c>
      <c r="J120" s="134">
        <v>20</v>
      </c>
      <c r="K120" s="136" t="s">
        <v>539</v>
      </c>
      <c r="M120" s="290"/>
    </row>
    <row r="121" spans="1:27">
      <c r="A121" s="123" t="s">
        <v>1302</v>
      </c>
      <c r="B121" s="123"/>
      <c r="C121" s="127" t="s">
        <v>1339</v>
      </c>
      <c r="D121" s="136"/>
      <c r="E121" s="136" t="s">
        <v>16</v>
      </c>
      <c r="F121" s="136" t="s">
        <v>835</v>
      </c>
      <c r="G121" s="136" t="s">
        <v>17</v>
      </c>
      <c r="H121" s="127" t="s">
        <v>1386</v>
      </c>
      <c r="I121" s="128" t="s">
        <v>1327</v>
      </c>
      <c r="J121" s="134">
        <v>100</v>
      </c>
      <c r="K121" s="136" t="s">
        <v>566</v>
      </c>
      <c r="M121" s="290"/>
    </row>
    <row r="122" spans="1:27">
      <c r="A122" s="123" t="s">
        <v>1302</v>
      </c>
      <c r="B122" s="31"/>
      <c r="C122" s="127" t="s">
        <v>1339</v>
      </c>
      <c r="D122" s="136"/>
      <c r="E122" s="136" t="s">
        <v>16</v>
      </c>
      <c r="F122" s="137" t="s">
        <v>841</v>
      </c>
      <c r="G122" s="136" t="s">
        <v>17</v>
      </c>
      <c r="H122" s="127" t="s">
        <v>1388</v>
      </c>
      <c r="I122" s="128" t="s">
        <v>1327</v>
      </c>
      <c r="J122" s="134">
        <v>40</v>
      </c>
      <c r="K122" s="136" t="s">
        <v>569</v>
      </c>
      <c r="M122" s="290"/>
    </row>
    <row r="123" spans="1:27">
      <c r="A123" s="123" t="s">
        <v>1302</v>
      </c>
      <c r="B123" s="123" t="s">
        <v>1305</v>
      </c>
      <c r="C123" s="127" t="s">
        <v>1390</v>
      </c>
      <c r="D123" s="136" t="s">
        <v>1128</v>
      </c>
      <c r="E123" s="136" t="s">
        <v>16</v>
      </c>
      <c r="F123" s="136" t="s">
        <v>1391</v>
      </c>
      <c r="G123" s="136" t="s">
        <v>17</v>
      </c>
      <c r="H123" s="136" t="s">
        <v>1392</v>
      </c>
      <c r="I123" s="128" t="s">
        <v>1327</v>
      </c>
      <c r="J123" s="134">
        <v>100</v>
      </c>
      <c r="K123" s="136" t="s">
        <v>543</v>
      </c>
      <c r="M123" s="290"/>
    </row>
    <row r="124" spans="1:27">
      <c r="A124" s="123" t="s">
        <v>1302</v>
      </c>
      <c r="B124" s="123" t="s">
        <v>41</v>
      </c>
      <c r="C124" s="127" t="s">
        <v>1394</v>
      </c>
      <c r="D124" s="136" t="s">
        <v>1128</v>
      </c>
      <c r="E124" s="136" t="s">
        <v>16</v>
      </c>
      <c r="F124" s="136" t="s">
        <v>868</v>
      </c>
      <c r="G124" s="136" t="s">
        <v>17</v>
      </c>
      <c r="H124" s="127" t="s">
        <v>1394</v>
      </c>
      <c r="I124" s="128" t="s">
        <v>1327</v>
      </c>
      <c r="J124" s="134">
        <v>100</v>
      </c>
      <c r="K124" s="136" t="s">
        <v>586</v>
      </c>
      <c r="M124" s="290"/>
    </row>
    <row r="125" spans="1:27">
      <c r="A125" s="123" t="s">
        <v>1302</v>
      </c>
      <c r="B125" s="123"/>
      <c r="C125" s="127" t="s">
        <v>1339</v>
      </c>
      <c r="D125" s="136"/>
      <c r="E125" s="136" t="s">
        <v>16</v>
      </c>
      <c r="F125" s="136" t="s">
        <v>812</v>
      </c>
      <c r="G125" s="136" t="s">
        <v>17</v>
      </c>
      <c r="H125" s="127" t="s">
        <v>1396</v>
      </c>
      <c r="I125" s="128" t="s">
        <v>1327</v>
      </c>
      <c r="J125" s="134">
        <v>20</v>
      </c>
      <c r="K125" s="136" t="s">
        <v>552</v>
      </c>
      <c r="M125" s="290"/>
    </row>
    <row r="126" spans="1:27">
      <c r="A126" s="123" t="s">
        <v>1302</v>
      </c>
      <c r="B126" s="123" t="s">
        <v>41</v>
      </c>
      <c r="C126" s="127" t="s">
        <v>1397</v>
      </c>
      <c r="D126" s="136" t="s">
        <v>1128</v>
      </c>
      <c r="E126" s="136" t="s">
        <v>16</v>
      </c>
      <c r="F126" s="136" t="s">
        <v>775</v>
      </c>
      <c r="G126" s="136" t="s">
        <v>17</v>
      </c>
      <c r="H126" s="127" t="s">
        <v>1397</v>
      </c>
      <c r="I126" s="128" t="s">
        <v>1327</v>
      </c>
      <c r="J126" s="134">
        <v>20</v>
      </c>
      <c r="K126" s="136" t="s">
        <v>530</v>
      </c>
      <c r="M126" s="290"/>
    </row>
    <row r="127" spans="1:27">
      <c r="A127" s="123" t="s">
        <v>1302</v>
      </c>
      <c r="B127" s="16" t="s">
        <v>1314</v>
      </c>
      <c r="C127" s="127" t="s">
        <v>1399</v>
      </c>
      <c r="D127" s="136" t="s">
        <v>1128</v>
      </c>
      <c r="E127" s="136" t="s">
        <v>16</v>
      </c>
      <c r="F127" s="136" t="s">
        <v>874</v>
      </c>
      <c r="G127" s="136" t="s">
        <v>17</v>
      </c>
      <c r="H127" s="127" t="s">
        <v>1399</v>
      </c>
      <c r="I127" s="128" t="s">
        <v>1327</v>
      </c>
      <c r="J127" s="134">
        <v>20</v>
      </c>
      <c r="K127" s="136" t="s">
        <v>589</v>
      </c>
      <c r="M127" s="290"/>
    </row>
    <row r="128" spans="1:27">
      <c r="A128" s="129" t="s">
        <v>1302</v>
      </c>
      <c r="B128" s="129"/>
      <c r="C128" s="160" t="s">
        <v>1339</v>
      </c>
      <c r="D128" s="157"/>
      <c r="E128" s="157" t="s">
        <v>16</v>
      </c>
      <c r="F128" s="157"/>
      <c r="G128" s="157" t="s">
        <v>17</v>
      </c>
      <c r="H128" s="157"/>
      <c r="I128" s="132" t="s">
        <v>1327</v>
      </c>
      <c r="J128" s="133">
        <v>100</v>
      </c>
      <c r="K128" s="157" t="s">
        <v>581</v>
      </c>
      <c r="L128" s="43"/>
      <c r="M128" s="290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spans="1:27">
      <c r="A129" s="123" t="s">
        <v>1302</v>
      </c>
      <c r="B129" s="123"/>
      <c r="C129" s="127" t="s">
        <v>1339</v>
      </c>
      <c r="D129" s="136"/>
      <c r="E129" s="136" t="s">
        <v>16</v>
      </c>
      <c r="F129" s="157"/>
      <c r="G129" s="157" t="s">
        <v>17</v>
      </c>
      <c r="H129" s="157"/>
      <c r="I129" s="132" t="s">
        <v>1327</v>
      </c>
      <c r="J129" s="133">
        <v>100</v>
      </c>
      <c r="K129" s="136" t="s">
        <v>582</v>
      </c>
      <c r="M129" s="290"/>
    </row>
    <row r="130" spans="1:27">
      <c r="A130" s="123" t="s">
        <v>1302</v>
      </c>
      <c r="B130" s="16" t="s">
        <v>46</v>
      </c>
      <c r="C130" s="127" t="s">
        <v>1401</v>
      </c>
      <c r="D130" s="136" t="s">
        <v>1128</v>
      </c>
      <c r="E130" s="136" t="s">
        <v>16</v>
      </c>
      <c r="F130" s="136" t="s">
        <v>831</v>
      </c>
      <c r="G130" s="136" t="s">
        <v>17</v>
      </c>
      <c r="H130" s="127" t="s">
        <v>1401</v>
      </c>
      <c r="I130" s="128" t="s">
        <v>1327</v>
      </c>
      <c r="J130" s="134">
        <v>20</v>
      </c>
      <c r="K130" s="136" t="s">
        <v>563</v>
      </c>
      <c r="M130" s="290"/>
    </row>
    <row r="131" spans="1:27">
      <c r="A131" s="123" t="s">
        <v>1302</v>
      </c>
      <c r="B131" s="123"/>
      <c r="C131" s="127" t="s">
        <v>1339</v>
      </c>
      <c r="D131" s="136"/>
      <c r="E131" s="136" t="s">
        <v>16</v>
      </c>
      <c r="F131" s="136" t="s">
        <v>831</v>
      </c>
      <c r="G131" s="136" t="s">
        <v>17</v>
      </c>
      <c r="H131" s="127" t="s">
        <v>1401</v>
      </c>
      <c r="I131" s="124" t="s">
        <v>1327</v>
      </c>
      <c r="J131" s="125">
        <v>20</v>
      </c>
      <c r="K131" s="136" t="s">
        <v>547</v>
      </c>
      <c r="M131" s="290"/>
    </row>
    <row r="132" spans="1:27">
      <c r="A132" s="123" t="s">
        <v>1302</v>
      </c>
      <c r="B132" s="123" t="s">
        <v>24</v>
      </c>
      <c r="C132" s="127" t="s">
        <v>1332</v>
      </c>
      <c r="D132" s="136" t="s">
        <v>1128</v>
      </c>
      <c r="E132" s="136" t="s">
        <v>16</v>
      </c>
      <c r="F132" s="136" t="s">
        <v>843</v>
      </c>
      <c r="G132" s="136" t="s">
        <v>17</v>
      </c>
      <c r="H132" s="136" t="s">
        <v>1332</v>
      </c>
      <c r="I132" s="128" t="s">
        <v>1327</v>
      </c>
      <c r="J132" s="134">
        <v>100</v>
      </c>
      <c r="K132" s="136" t="s">
        <v>570</v>
      </c>
      <c r="M132" s="290"/>
    </row>
    <row r="133" spans="1:27">
      <c r="A133" s="123" t="s">
        <v>1302</v>
      </c>
      <c r="B133" s="123" t="s">
        <v>41</v>
      </c>
      <c r="C133" s="127" t="s">
        <v>1358</v>
      </c>
      <c r="D133" s="136" t="s">
        <v>1128</v>
      </c>
      <c r="E133" s="136" t="s">
        <v>16</v>
      </c>
      <c r="F133" s="136" t="s">
        <v>750</v>
      </c>
      <c r="G133" s="136" t="s">
        <v>17</v>
      </c>
      <c r="H133" s="136" t="s">
        <v>1358</v>
      </c>
      <c r="I133" s="124" t="s">
        <v>1327</v>
      </c>
      <c r="J133" s="125">
        <v>20</v>
      </c>
      <c r="K133" s="136" t="s">
        <v>460</v>
      </c>
      <c r="M133" s="290"/>
    </row>
    <row r="134" spans="1:27">
      <c r="A134" s="123" t="s">
        <v>1302</v>
      </c>
      <c r="B134" s="123"/>
      <c r="C134" s="127" t="s">
        <v>1339</v>
      </c>
      <c r="D134" s="136"/>
      <c r="E134" s="136" t="s">
        <v>16</v>
      </c>
      <c r="F134" s="136"/>
      <c r="G134" s="136" t="s">
        <v>17</v>
      </c>
      <c r="H134" s="136"/>
      <c r="I134" s="124" t="s">
        <v>1327</v>
      </c>
      <c r="J134" s="125">
        <v>20</v>
      </c>
      <c r="K134" s="136" t="s">
        <v>534</v>
      </c>
      <c r="M134" s="290"/>
    </row>
    <row r="135" spans="1:27">
      <c r="A135" s="123" t="s">
        <v>1302</v>
      </c>
      <c r="B135" s="16" t="s">
        <v>46</v>
      </c>
      <c r="C135" s="127" t="s">
        <v>1334</v>
      </c>
      <c r="D135" s="136" t="s">
        <v>1128</v>
      </c>
      <c r="E135" s="136" t="s">
        <v>16</v>
      </c>
      <c r="F135" s="136" t="s">
        <v>833</v>
      </c>
      <c r="G135" s="136" t="s">
        <v>17</v>
      </c>
      <c r="H135" s="136" t="s">
        <v>1334</v>
      </c>
      <c r="I135" s="136" t="s">
        <v>519</v>
      </c>
      <c r="J135" s="136"/>
      <c r="K135" s="136" t="s">
        <v>564</v>
      </c>
      <c r="M135" s="290"/>
    </row>
    <row r="136" spans="1:27">
      <c r="A136" s="123" t="s">
        <v>1302</v>
      </c>
      <c r="B136" s="123" t="s">
        <v>24</v>
      </c>
      <c r="C136" s="127" t="s">
        <v>1352</v>
      </c>
      <c r="D136" s="136" t="s">
        <v>1128</v>
      </c>
      <c r="E136" s="136" t="s">
        <v>16</v>
      </c>
      <c r="F136" s="136" t="s">
        <v>854</v>
      </c>
      <c r="G136" s="136" t="s">
        <v>17</v>
      </c>
      <c r="H136" s="136" t="s">
        <v>1353</v>
      </c>
      <c r="I136" s="128" t="s">
        <v>1327</v>
      </c>
      <c r="J136" s="134">
        <v>100</v>
      </c>
      <c r="K136" s="136" t="s">
        <v>577</v>
      </c>
      <c r="M136" s="290"/>
    </row>
    <row r="137" spans="1:27">
      <c r="A137" s="123" t="s">
        <v>1302</v>
      </c>
      <c r="B137" s="16" t="s">
        <v>46</v>
      </c>
      <c r="C137" s="127" t="s">
        <v>1405</v>
      </c>
      <c r="D137" s="136" t="s">
        <v>1128</v>
      </c>
      <c r="E137" s="136" t="s">
        <v>16</v>
      </c>
      <c r="F137" s="136" t="s">
        <v>829</v>
      </c>
      <c r="G137" s="136" t="s">
        <v>17</v>
      </c>
      <c r="H137" s="127" t="s">
        <v>1405</v>
      </c>
      <c r="I137" s="128" t="s">
        <v>1327</v>
      </c>
      <c r="J137" s="134">
        <v>20</v>
      </c>
      <c r="K137" s="136" t="s">
        <v>562</v>
      </c>
      <c r="M137" s="290"/>
    </row>
    <row r="138" spans="1:27">
      <c r="A138" s="129" t="s">
        <v>1302</v>
      </c>
      <c r="B138" s="129"/>
      <c r="C138" s="160" t="s">
        <v>1339</v>
      </c>
      <c r="D138" s="157"/>
      <c r="E138" s="157" t="s">
        <v>16</v>
      </c>
      <c r="F138" s="157"/>
      <c r="G138" s="157" t="s">
        <v>17</v>
      </c>
      <c r="H138" s="157"/>
      <c r="I138" s="132" t="s">
        <v>1327</v>
      </c>
      <c r="J138" s="133">
        <v>20</v>
      </c>
      <c r="K138" s="157" t="s">
        <v>538</v>
      </c>
      <c r="L138" s="43"/>
      <c r="M138" s="290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spans="1:27">
      <c r="A139" s="123" t="s">
        <v>1302</v>
      </c>
      <c r="B139" s="123" t="s">
        <v>41</v>
      </c>
      <c r="C139" s="127" t="s">
        <v>1406</v>
      </c>
      <c r="D139" s="136" t="s">
        <v>1128</v>
      </c>
      <c r="E139" s="136" t="s">
        <v>16</v>
      </c>
      <c r="F139" s="136" t="s">
        <v>819</v>
      </c>
      <c r="G139" s="136" t="s">
        <v>17</v>
      </c>
      <c r="H139" s="127" t="s">
        <v>1406</v>
      </c>
      <c r="I139" s="128" t="s">
        <v>1327</v>
      </c>
      <c r="J139" s="134">
        <v>40</v>
      </c>
      <c r="K139" s="136" t="s">
        <v>558</v>
      </c>
      <c r="M139" s="290"/>
    </row>
    <row r="140" spans="1:27">
      <c r="A140" s="123" t="s">
        <v>1302</v>
      </c>
      <c r="B140" s="123" t="s">
        <v>41</v>
      </c>
      <c r="C140" s="127" t="s">
        <v>1408</v>
      </c>
      <c r="D140" s="136" t="s">
        <v>1128</v>
      </c>
      <c r="E140" s="136" t="s">
        <v>16</v>
      </c>
      <c r="F140" s="136" t="s">
        <v>808</v>
      </c>
      <c r="G140" s="136" t="s">
        <v>17</v>
      </c>
      <c r="H140" s="127" t="s">
        <v>1408</v>
      </c>
      <c r="I140" s="128" t="s">
        <v>1327</v>
      </c>
      <c r="J140" s="134">
        <v>20</v>
      </c>
      <c r="K140" s="136" t="s">
        <v>550</v>
      </c>
      <c r="M140" s="290"/>
    </row>
    <row r="141" spans="1:27">
      <c r="A141" s="123" t="s">
        <v>1302</v>
      </c>
      <c r="B141" s="123"/>
      <c r="C141" s="127" t="s">
        <v>1339</v>
      </c>
      <c r="D141" s="136"/>
      <c r="E141" s="136" t="s">
        <v>16</v>
      </c>
      <c r="F141" s="136" t="s">
        <v>778</v>
      </c>
      <c r="G141" s="136" t="s">
        <v>17</v>
      </c>
      <c r="H141" s="127" t="s">
        <v>1410</v>
      </c>
      <c r="I141" s="128" t="s">
        <v>1327</v>
      </c>
      <c r="J141" s="134">
        <v>20</v>
      </c>
      <c r="K141" s="136" t="s">
        <v>532</v>
      </c>
      <c r="M141" s="290"/>
    </row>
    <row r="142" spans="1:27">
      <c r="A142" s="123" t="s">
        <v>1302</v>
      </c>
      <c r="B142" s="123"/>
      <c r="C142" s="127" t="s">
        <v>1339</v>
      </c>
      <c r="D142" s="136"/>
      <c r="E142" s="136" t="s">
        <v>16</v>
      </c>
      <c r="F142" s="136" t="s">
        <v>777</v>
      </c>
      <c r="G142" s="136" t="s">
        <v>17</v>
      </c>
      <c r="H142" s="127" t="s">
        <v>1411</v>
      </c>
      <c r="I142" s="128" t="s">
        <v>1327</v>
      </c>
      <c r="J142" s="134">
        <v>100</v>
      </c>
      <c r="K142" s="136" t="s">
        <v>531</v>
      </c>
      <c r="M142" s="290"/>
    </row>
    <row r="143" spans="1:27">
      <c r="A143" s="123" t="s">
        <v>1302</v>
      </c>
      <c r="B143" s="31"/>
      <c r="C143" s="127" t="s">
        <v>1339</v>
      </c>
      <c r="D143" s="136"/>
      <c r="E143" s="136" t="s">
        <v>16</v>
      </c>
      <c r="F143" s="136" t="s">
        <v>802</v>
      </c>
      <c r="G143" s="136" t="s">
        <v>17</v>
      </c>
      <c r="H143" s="127" t="s">
        <v>1413</v>
      </c>
      <c r="I143" s="128" t="s">
        <v>1327</v>
      </c>
      <c r="J143" s="134">
        <v>20</v>
      </c>
      <c r="K143" s="136" t="s">
        <v>544</v>
      </c>
      <c r="M143" s="290"/>
    </row>
    <row r="144" spans="1:27">
      <c r="A144" s="123" t="s">
        <v>1302</v>
      </c>
      <c r="B144" s="123" t="s">
        <v>41</v>
      </c>
      <c r="C144" s="127" t="s">
        <v>1415</v>
      </c>
      <c r="D144" s="136" t="s">
        <v>1128</v>
      </c>
      <c r="E144" s="136" t="s">
        <v>16</v>
      </c>
      <c r="F144" s="136" t="s">
        <v>839</v>
      </c>
      <c r="G144" s="136" t="s">
        <v>17</v>
      </c>
      <c r="H144" s="127" t="s">
        <v>1415</v>
      </c>
      <c r="I144" s="128" t="s">
        <v>1327</v>
      </c>
      <c r="J144" s="134">
        <v>20</v>
      </c>
      <c r="K144" s="136" t="s">
        <v>568</v>
      </c>
      <c r="M144" s="290"/>
    </row>
    <row r="145" spans="1:27">
      <c r="A145" s="123" t="s">
        <v>1302</v>
      </c>
      <c r="B145" s="123"/>
      <c r="C145" s="127" t="s">
        <v>1339</v>
      </c>
      <c r="D145" s="136"/>
      <c r="E145" s="136" t="s">
        <v>16</v>
      </c>
      <c r="F145" s="136"/>
      <c r="G145" s="136" t="s">
        <v>17</v>
      </c>
      <c r="H145" s="136"/>
      <c r="I145" s="128" t="s">
        <v>1327</v>
      </c>
      <c r="J145" s="134">
        <v>20</v>
      </c>
      <c r="K145" s="136" t="s">
        <v>555</v>
      </c>
      <c r="M145" s="290"/>
    </row>
    <row r="146" spans="1:27">
      <c r="A146" s="123" t="s">
        <v>1302</v>
      </c>
      <c r="B146" s="123" t="s">
        <v>41</v>
      </c>
      <c r="C146" s="127" t="s">
        <v>1417</v>
      </c>
      <c r="D146" s="136" t="s">
        <v>1128</v>
      </c>
      <c r="E146" s="136" t="s">
        <v>16</v>
      </c>
      <c r="F146" s="136" t="s">
        <v>780</v>
      </c>
      <c r="G146" s="136" t="s">
        <v>17</v>
      </c>
      <c r="H146" s="127" t="s">
        <v>1417</v>
      </c>
      <c r="I146" s="128" t="s">
        <v>1327</v>
      </c>
      <c r="J146" s="134">
        <v>20</v>
      </c>
      <c r="K146" s="136" t="s">
        <v>514</v>
      </c>
      <c r="M146" s="290"/>
    </row>
    <row r="147" spans="1:27">
      <c r="A147" s="123" t="s">
        <v>1302</v>
      </c>
      <c r="B147" s="123"/>
      <c r="C147" s="127" t="s">
        <v>1339</v>
      </c>
      <c r="D147" s="136"/>
      <c r="E147" s="136" t="s">
        <v>16</v>
      </c>
      <c r="F147" s="137" t="s">
        <v>837</v>
      </c>
      <c r="G147" s="136" t="s">
        <v>17</v>
      </c>
      <c r="H147" s="128" t="s">
        <v>1418</v>
      </c>
      <c r="I147" s="128" t="s">
        <v>1106</v>
      </c>
      <c r="J147" s="134">
        <v>25.5</v>
      </c>
      <c r="K147" s="136" t="s">
        <v>567</v>
      </c>
      <c r="M147" s="290"/>
    </row>
    <row r="148" spans="1:27">
      <c r="A148" s="129" t="s">
        <v>1302</v>
      </c>
      <c r="B148" s="129"/>
      <c r="C148" s="160" t="s">
        <v>1339</v>
      </c>
      <c r="D148" s="157"/>
      <c r="E148" s="157" t="s">
        <v>16</v>
      </c>
      <c r="F148" s="157"/>
      <c r="G148" s="157" t="s">
        <v>17</v>
      </c>
      <c r="H148" s="157"/>
      <c r="I148" s="157" t="s">
        <v>519</v>
      </c>
      <c r="J148" s="157"/>
      <c r="K148" s="157" t="s">
        <v>472</v>
      </c>
      <c r="L148" s="43"/>
      <c r="M148" s="290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spans="1:27">
      <c r="A149" s="123" t="s">
        <v>1302</v>
      </c>
      <c r="B149" s="16" t="s">
        <v>1317</v>
      </c>
      <c r="C149" s="127" t="s">
        <v>1419</v>
      </c>
      <c r="D149" s="136" t="s">
        <v>1128</v>
      </c>
      <c r="E149" s="136" t="s">
        <v>16</v>
      </c>
      <c r="F149" s="136" t="s">
        <v>1420</v>
      </c>
      <c r="G149" s="136" t="s">
        <v>17</v>
      </c>
      <c r="H149" s="136" t="s">
        <v>1419</v>
      </c>
      <c r="I149" s="128" t="s">
        <v>1327</v>
      </c>
      <c r="J149" s="134">
        <v>100</v>
      </c>
      <c r="K149" s="136" t="s">
        <v>575</v>
      </c>
      <c r="M149" s="290"/>
    </row>
    <row r="150" spans="1:27">
      <c r="A150" s="123" t="s">
        <v>1302</v>
      </c>
      <c r="B150" s="123" t="s">
        <v>41</v>
      </c>
      <c r="C150" s="127" t="s">
        <v>1421</v>
      </c>
      <c r="D150" s="136"/>
      <c r="E150" s="136" t="s">
        <v>16</v>
      </c>
      <c r="F150" s="136" t="s">
        <v>795</v>
      </c>
      <c r="G150" s="136" t="s">
        <v>17</v>
      </c>
      <c r="H150" s="136" t="s">
        <v>1421</v>
      </c>
      <c r="I150" s="128" t="s">
        <v>1327</v>
      </c>
      <c r="J150" s="134">
        <v>100</v>
      </c>
      <c r="K150" s="136" t="s">
        <v>541</v>
      </c>
      <c r="M150" s="290"/>
    </row>
    <row r="151" spans="1:27">
      <c r="A151" s="123" t="s">
        <v>1302</v>
      </c>
      <c r="B151" s="123" t="s">
        <v>24</v>
      </c>
      <c r="C151" s="127" t="s">
        <v>1422</v>
      </c>
      <c r="D151" s="136" t="s">
        <v>1128</v>
      </c>
      <c r="E151" s="136" t="s">
        <v>16</v>
      </c>
      <c r="F151" s="136" t="s">
        <v>849</v>
      </c>
      <c r="G151" s="136" t="s">
        <v>17</v>
      </c>
      <c r="H151" s="127" t="s">
        <v>1422</v>
      </c>
      <c r="I151" s="128" t="s">
        <v>1327</v>
      </c>
      <c r="J151" s="134">
        <v>40</v>
      </c>
      <c r="K151" s="136" t="s">
        <v>574</v>
      </c>
      <c r="M151" s="290"/>
    </row>
    <row r="152" spans="1:27">
      <c r="A152" s="129" t="s">
        <v>1302</v>
      </c>
      <c r="B152" s="129"/>
      <c r="C152" s="160" t="s">
        <v>1339</v>
      </c>
      <c r="D152" s="157"/>
      <c r="E152" s="157" t="s">
        <v>16</v>
      </c>
      <c r="F152" s="157"/>
      <c r="G152" s="157" t="s">
        <v>17</v>
      </c>
      <c r="H152" s="157"/>
      <c r="I152" s="132" t="s">
        <v>1327</v>
      </c>
      <c r="J152" s="133">
        <v>100</v>
      </c>
      <c r="K152" s="157" t="s">
        <v>572</v>
      </c>
      <c r="L152" s="43"/>
      <c r="M152" s="290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spans="1:27">
      <c r="A153" s="129" t="s">
        <v>1302</v>
      </c>
      <c r="B153" s="129"/>
      <c r="C153" s="160" t="s">
        <v>1339</v>
      </c>
      <c r="D153" s="157"/>
      <c r="E153" s="157" t="s">
        <v>16</v>
      </c>
      <c r="F153" s="157"/>
      <c r="G153" s="157" t="s">
        <v>17</v>
      </c>
      <c r="H153" s="157"/>
      <c r="I153" s="132" t="s">
        <v>1327</v>
      </c>
      <c r="J153" s="133">
        <v>100</v>
      </c>
      <c r="K153" s="157" t="s">
        <v>554</v>
      </c>
      <c r="L153" s="43"/>
      <c r="M153" s="290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spans="1:27">
      <c r="A154" s="123" t="s">
        <v>1302</v>
      </c>
      <c r="B154" s="16" t="s">
        <v>1314</v>
      </c>
      <c r="C154" s="127" t="s">
        <v>1419</v>
      </c>
      <c r="D154" s="136" t="s">
        <v>1128</v>
      </c>
      <c r="E154" s="136" t="s">
        <v>16</v>
      </c>
      <c r="F154" s="13" t="s">
        <v>851</v>
      </c>
      <c r="G154" s="136" t="s">
        <v>17</v>
      </c>
      <c r="H154" s="136" t="s">
        <v>1424</v>
      </c>
      <c r="I154" s="128" t="s">
        <v>1327</v>
      </c>
      <c r="J154" s="134">
        <v>100</v>
      </c>
      <c r="K154" s="136" t="s">
        <v>590</v>
      </c>
      <c r="M154" s="290"/>
    </row>
    <row r="155" spans="1:27">
      <c r="A155" s="123" t="s">
        <v>1302</v>
      </c>
      <c r="B155" s="123"/>
      <c r="C155" s="127" t="s">
        <v>1339</v>
      </c>
      <c r="D155" s="136"/>
      <c r="E155" s="136" t="s">
        <v>16</v>
      </c>
      <c r="F155" s="136" t="s">
        <v>814</v>
      </c>
      <c r="G155" s="136" t="s">
        <v>17</v>
      </c>
      <c r="H155" s="127" t="s">
        <v>1425</v>
      </c>
      <c r="I155" s="128" t="s">
        <v>1327</v>
      </c>
      <c r="J155" s="134">
        <v>40</v>
      </c>
      <c r="K155" s="136" t="s">
        <v>553</v>
      </c>
      <c r="M155" s="290"/>
    </row>
    <row r="156" spans="1:27">
      <c r="A156" s="123" t="s">
        <v>1302</v>
      </c>
      <c r="B156" s="123"/>
      <c r="C156" s="127" t="s">
        <v>1339</v>
      </c>
      <c r="D156" s="136"/>
      <c r="E156" s="136" t="s">
        <v>16</v>
      </c>
      <c r="F156" s="136"/>
      <c r="G156" s="136" t="s">
        <v>17</v>
      </c>
      <c r="H156" s="136"/>
      <c r="I156" s="128" t="s">
        <v>1327</v>
      </c>
      <c r="J156" s="134">
        <v>100</v>
      </c>
      <c r="K156" s="136" t="s">
        <v>557</v>
      </c>
      <c r="M156" s="290"/>
    </row>
    <row r="157" spans="1:27">
      <c r="A157" s="123" t="s">
        <v>1302</v>
      </c>
      <c r="B157" s="16" t="s">
        <v>1308</v>
      </c>
      <c r="C157" s="136" t="s">
        <v>1390</v>
      </c>
      <c r="D157" s="136" t="s">
        <v>1128</v>
      </c>
      <c r="E157" s="136" t="s">
        <v>16</v>
      </c>
      <c r="F157" s="136" t="s">
        <v>1427</v>
      </c>
      <c r="G157" s="136" t="s">
        <v>17</v>
      </c>
      <c r="H157" s="136" t="s">
        <v>1428</v>
      </c>
      <c r="I157" s="128" t="s">
        <v>1327</v>
      </c>
      <c r="J157" s="134">
        <v>100</v>
      </c>
      <c r="K157" s="136" t="s">
        <v>548</v>
      </c>
      <c r="M157" s="290"/>
    </row>
    <row r="158" spans="1:27">
      <c r="A158" s="123" t="s">
        <v>1302</v>
      </c>
      <c r="B158" s="16" t="s">
        <v>1311</v>
      </c>
      <c r="C158" s="136" t="s">
        <v>1390</v>
      </c>
      <c r="D158" s="136" t="s">
        <v>1128</v>
      </c>
      <c r="E158" s="136" t="s">
        <v>16</v>
      </c>
      <c r="F158" s="136" t="s">
        <v>1430</v>
      </c>
      <c r="G158" s="136" t="s">
        <v>17</v>
      </c>
      <c r="H158" s="136" t="s">
        <v>1431</v>
      </c>
      <c r="I158" s="128" t="s">
        <v>1327</v>
      </c>
      <c r="J158" s="134">
        <v>100</v>
      </c>
      <c r="K158" s="136" t="s">
        <v>559</v>
      </c>
      <c r="M158" s="290"/>
    </row>
    <row r="159" spans="1:27">
      <c r="A159" s="123" t="s">
        <v>1302</v>
      </c>
      <c r="B159" s="123" t="s">
        <v>41</v>
      </c>
      <c r="C159" s="127" t="s">
        <v>1432</v>
      </c>
      <c r="D159" s="136"/>
      <c r="E159" s="136" t="s">
        <v>16</v>
      </c>
      <c r="F159" s="136" t="s">
        <v>816</v>
      </c>
      <c r="G159" s="136" t="s">
        <v>17</v>
      </c>
      <c r="H159" s="136" t="s">
        <v>1432</v>
      </c>
      <c r="I159" s="128" t="s">
        <v>1327</v>
      </c>
      <c r="J159" s="134">
        <v>100</v>
      </c>
      <c r="K159" s="136" t="s">
        <v>556</v>
      </c>
      <c r="M159" s="290"/>
    </row>
    <row r="160" spans="1:27">
      <c r="M160" s="290"/>
    </row>
    <row r="161" spans="13:13">
      <c r="M161" s="290"/>
    </row>
    <row r="162" spans="13:13">
      <c r="M162" s="290"/>
    </row>
    <row r="163" spans="13:13">
      <c r="M163" s="290"/>
    </row>
    <row r="164" spans="13:13">
      <c r="M164" s="290"/>
    </row>
    <row r="165" spans="13:13">
      <c r="M165" s="290"/>
    </row>
    <row r="166" spans="13:13">
      <c r="M166" s="290"/>
    </row>
    <row r="167" spans="13:13">
      <c r="M167" s="290"/>
    </row>
    <row r="168" spans="13:13">
      <c r="M168" s="290"/>
    </row>
    <row r="169" spans="13:13">
      <c r="M169" s="290"/>
    </row>
    <row r="170" spans="13:13">
      <c r="M170" s="290"/>
    </row>
    <row r="171" spans="13:13">
      <c r="M171" s="290"/>
    </row>
    <row r="172" spans="13:13">
      <c r="M172" s="290"/>
    </row>
    <row r="173" spans="13:13">
      <c r="M173" s="290"/>
    </row>
    <row r="174" spans="13:13">
      <c r="M174" s="290"/>
    </row>
    <row r="175" spans="13:13">
      <c r="M175" s="290"/>
    </row>
    <row r="176" spans="13:13">
      <c r="M176" s="290"/>
    </row>
    <row r="177" spans="13:13">
      <c r="M177" s="290"/>
    </row>
    <row r="178" spans="13:13">
      <c r="M178" s="290"/>
    </row>
    <row r="179" spans="13:13">
      <c r="M179" s="290"/>
    </row>
    <row r="180" spans="13:13">
      <c r="M180" s="290"/>
    </row>
    <row r="181" spans="13:13">
      <c r="M181" s="290"/>
    </row>
    <row r="182" spans="13:13">
      <c r="M182" s="290"/>
    </row>
    <row r="183" spans="13:13">
      <c r="M183" s="290"/>
    </row>
    <row r="184" spans="13:13">
      <c r="M184" s="290"/>
    </row>
    <row r="185" spans="13:13">
      <c r="M185" s="290"/>
    </row>
    <row r="186" spans="13:13">
      <c r="M186" s="290"/>
    </row>
    <row r="187" spans="13:13">
      <c r="M187" s="290"/>
    </row>
    <row r="188" spans="13:13">
      <c r="M188" s="290"/>
    </row>
    <row r="189" spans="13:13">
      <c r="M189" s="290"/>
    </row>
    <row r="190" spans="13:13">
      <c r="M190" s="290"/>
    </row>
    <row r="191" spans="13:13">
      <c r="M191" s="290"/>
    </row>
    <row r="192" spans="13:13">
      <c r="M192" s="290"/>
    </row>
    <row r="193" spans="13:13">
      <c r="M193" s="290"/>
    </row>
    <row r="194" spans="13:13">
      <c r="M194" s="290"/>
    </row>
    <row r="195" spans="13:13">
      <c r="M195" s="290"/>
    </row>
    <row r="196" spans="13:13">
      <c r="M196" s="290"/>
    </row>
    <row r="197" spans="13:13">
      <c r="M197" s="290"/>
    </row>
    <row r="198" spans="13:13">
      <c r="M198" s="290"/>
    </row>
    <row r="199" spans="13:13">
      <c r="M199" s="290"/>
    </row>
    <row r="200" spans="13:13">
      <c r="M200" s="290"/>
    </row>
    <row r="201" spans="13:13">
      <c r="M201" s="290"/>
    </row>
    <row r="202" spans="13:13">
      <c r="M202" s="290"/>
    </row>
    <row r="203" spans="13:13">
      <c r="M203" s="290"/>
    </row>
    <row r="204" spans="13:13">
      <c r="M204" s="290"/>
    </row>
    <row r="205" spans="13:13">
      <c r="M205" s="290"/>
    </row>
    <row r="206" spans="13:13">
      <c r="M206" s="290"/>
    </row>
    <row r="207" spans="13:13">
      <c r="M207" s="290"/>
    </row>
    <row r="208" spans="13:13">
      <c r="M208" s="290"/>
    </row>
    <row r="209" spans="13:13">
      <c r="M209" s="290"/>
    </row>
    <row r="210" spans="13:13">
      <c r="M210" s="290"/>
    </row>
    <row r="211" spans="13:13">
      <c r="M211" s="290"/>
    </row>
    <row r="212" spans="13:13">
      <c r="M212" s="290"/>
    </row>
    <row r="213" spans="13:13">
      <c r="M213" s="290"/>
    </row>
    <row r="214" spans="13:13">
      <c r="M214" s="290"/>
    </row>
    <row r="215" spans="13:13">
      <c r="M215" s="290"/>
    </row>
    <row r="216" spans="13:13">
      <c r="M216" s="290"/>
    </row>
    <row r="217" spans="13:13">
      <c r="M217" s="290"/>
    </row>
    <row r="218" spans="13:13">
      <c r="M218" s="290"/>
    </row>
    <row r="219" spans="13:13">
      <c r="M219" s="290"/>
    </row>
    <row r="220" spans="13:13">
      <c r="M220" s="290"/>
    </row>
    <row r="221" spans="13:13">
      <c r="M221" s="290"/>
    </row>
    <row r="222" spans="13:13">
      <c r="M222" s="290"/>
    </row>
    <row r="223" spans="13:13">
      <c r="M223" s="290"/>
    </row>
    <row r="224" spans="13:13">
      <c r="M224" s="290"/>
    </row>
    <row r="225" spans="13:13">
      <c r="M225" s="290"/>
    </row>
    <row r="226" spans="13:13">
      <c r="M226" s="290"/>
    </row>
    <row r="227" spans="13:13">
      <c r="M227" s="290"/>
    </row>
    <row r="228" spans="13:13">
      <c r="M228" s="290"/>
    </row>
    <row r="229" spans="13:13">
      <c r="M229" s="290"/>
    </row>
    <row r="230" spans="13:13">
      <c r="M230" s="290"/>
    </row>
    <row r="231" spans="13:13">
      <c r="M231" s="290"/>
    </row>
    <row r="232" spans="13:13">
      <c r="M232" s="290"/>
    </row>
    <row r="233" spans="13:13">
      <c r="M233" s="290"/>
    </row>
    <row r="234" spans="13:13">
      <c r="M234" s="290"/>
    </row>
    <row r="235" spans="13:13">
      <c r="M235" s="290"/>
    </row>
    <row r="236" spans="13:13">
      <c r="M236" s="290"/>
    </row>
    <row r="237" spans="13:13">
      <c r="M237" s="290"/>
    </row>
    <row r="238" spans="13:13">
      <c r="M238" s="290"/>
    </row>
    <row r="239" spans="13:13">
      <c r="M239" s="290"/>
    </row>
    <row r="240" spans="13:13">
      <c r="M240" s="290"/>
    </row>
    <row r="241" spans="13:13">
      <c r="M241" s="290"/>
    </row>
    <row r="242" spans="13:13">
      <c r="M242" s="290"/>
    </row>
    <row r="243" spans="13:13">
      <c r="M243" s="290"/>
    </row>
    <row r="244" spans="13:13">
      <c r="M244" s="290"/>
    </row>
    <row r="245" spans="13:13">
      <c r="M245" s="290"/>
    </row>
    <row r="246" spans="13:13">
      <c r="M246" s="290"/>
    </row>
    <row r="247" spans="13:13">
      <c r="M247" s="290"/>
    </row>
    <row r="248" spans="13:13">
      <c r="M248" s="290"/>
    </row>
    <row r="249" spans="13:13">
      <c r="M249" s="290"/>
    </row>
    <row r="250" spans="13:13">
      <c r="M250" s="290"/>
    </row>
    <row r="251" spans="13:13">
      <c r="M251" s="290"/>
    </row>
    <row r="252" spans="13:13">
      <c r="M252" s="290"/>
    </row>
    <row r="253" spans="13:13">
      <c r="M253" s="290"/>
    </row>
    <row r="254" spans="13:13">
      <c r="M254" s="290"/>
    </row>
    <row r="255" spans="13:13">
      <c r="M255" s="290"/>
    </row>
    <row r="256" spans="13:13">
      <c r="M256" s="290"/>
    </row>
    <row r="257" spans="13:13">
      <c r="M257" s="290"/>
    </row>
    <row r="258" spans="13:13">
      <c r="M258" s="290"/>
    </row>
    <row r="259" spans="13:13">
      <c r="M259" s="290"/>
    </row>
    <row r="260" spans="13:13">
      <c r="M260" s="290"/>
    </row>
    <row r="261" spans="13:13">
      <c r="M261" s="290"/>
    </row>
    <row r="262" spans="13:13">
      <c r="M262" s="290"/>
    </row>
    <row r="263" spans="13:13">
      <c r="M263" s="290"/>
    </row>
    <row r="264" spans="13:13">
      <c r="M264" s="290"/>
    </row>
    <row r="265" spans="13:13">
      <c r="M265" s="290"/>
    </row>
    <row r="266" spans="13:13">
      <c r="M266" s="290"/>
    </row>
    <row r="267" spans="13:13">
      <c r="M267" s="290"/>
    </row>
    <row r="268" spans="13:13">
      <c r="M268" s="290"/>
    </row>
    <row r="269" spans="13:13">
      <c r="M269" s="290"/>
    </row>
    <row r="270" spans="13:13">
      <c r="M270" s="290"/>
    </row>
    <row r="271" spans="13:13">
      <c r="M271" s="290"/>
    </row>
    <row r="272" spans="13:13">
      <c r="M272" s="290"/>
    </row>
    <row r="273" spans="13:13">
      <c r="M273" s="290"/>
    </row>
    <row r="274" spans="13:13">
      <c r="M274" s="290"/>
    </row>
    <row r="275" spans="13:13">
      <c r="M275" s="290"/>
    </row>
    <row r="276" spans="13:13">
      <c r="M276" s="290"/>
    </row>
    <row r="277" spans="13:13">
      <c r="M277" s="290"/>
    </row>
    <row r="278" spans="13:13">
      <c r="M278" s="290"/>
    </row>
    <row r="279" spans="13:13">
      <c r="M279" s="290"/>
    </row>
    <row r="280" spans="13:13">
      <c r="M280" s="290"/>
    </row>
    <row r="281" spans="13:13">
      <c r="M281" s="290"/>
    </row>
    <row r="282" spans="13:13">
      <c r="M282" s="290"/>
    </row>
    <row r="283" spans="13:13">
      <c r="M283" s="290"/>
    </row>
    <row r="284" spans="13:13">
      <c r="M284" s="290"/>
    </row>
    <row r="285" spans="13:13">
      <c r="M285" s="290"/>
    </row>
    <row r="286" spans="13:13">
      <c r="M286" s="290"/>
    </row>
    <row r="287" spans="13:13">
      <c r="M287" s="290"/>
    </row>
    <row r="288" spans="13:13">
      <c r="M288" s="290"/>
    </row>
    <row r="289" spans="13:13">
      <c r="M289" s="290"/>
    </row>
    <row r="290" spans="13:13">
      <c r="M290" s="290"/>
    </row>
    <row r="291" spans="13:13">
      <c r="M291" s="290"/>
    </row>
    <row r="292" spans="13:13">
      <c r="M292" s="290"/>
    </row>
    <row r="293" spans="13:13">
      <c r="M293" s="290"/>
    </row>
    <row r="294" spans="13:13">
      <c r="M294" s="290"/>
    </row>
    <row r="295" spans="13:13">
      <c r="M295" s="290"/>
    </row>
    <row r="296" spans="13:13">
      <c r="M296" s="290"/>
    </row>
    <row r="297" spans="13:13">
      <c r="M297" s="290"/>
    </row>
    <row r="298" spans="13:13">
      <c r="M298" s="290"/>
    </row>
    <row r="299" spans="13:13">
      <c r="M299" s="290"/>
    </row>
    <row r="300" spans="13:13">
      <c r="M300" s="290"/>
    </row>
    <row r="301" spans="13:13">
      <c r="M301" s="290"/>
    </row>
    <row r="302" spans="13:13">
      <c r="M302" s="290"/>
    </row>
    <row r="303" spans="13:13">
      <c r="M303" s="290"/>
    </row>
    <row r="304" spans="13:13">
      <c r="M304" s="290"/>
    </row>
    <row r="305" spans="13:13">
      <c r="M305" s="290"/>
    </row>
    <row r="306" spans="13:13">
      <c r="M306" s="290"/>
    </row>
    <row r="307" spans="13:13">
      <c r="M307" s="290"/>
    </row>
    <row r="308" spans="13:13">
      <c r="M308" s="290"/>
    </row>
    <row r="309" spans="13:13">
      <c r="M309" s="290"/>
    </row>
    <row r="310" spans="13:13">
      <c r="M310" s="290"/>
    </row>
    <row r="311" spans="13:13">
      <c r="M311" s="290"/>
    </row>
    <row r="312" spans="13:13">
      <c r="M312" s="290"/>
    </row>
    <row r="313" spans="13:13">
      <c r="M313" s="290"/>
    </row>
    <row r="314" spans="13:13">
      <c r="M314" s="290"/>
    </row>
    <row r="315" spans="13:13">
      <c r="M315" s="290"/>
    </row>
    <row r="316" spans="13:13">
      <c r="M316" s="290"/>
    </row>
    <row r="317" spans="13:13">
      <c r="M317" s="290"/>
    </row>
    <row r="318" spans="13:13">
      <c r="M318" s="290"/>
    </row>
    <row r="319" spans="13:13">
      <c r="M319" s="290"/>
    </row>
    <row r="320" spans="13:13">
      <c r="M320" s="290"/>
    </row>
    <row r="321" spans="13:13">
      <c r="M321" s="290"/>
    </row>
    <row r="322" spans="13:13">
      <c r="M322" s="290"/>
    </row>
    <row r="323" spans="13:13">
      <c r="M323" s="290"/>
    </row>
    <row r="324" spans="13:13">
      <c r="M324" s="290"/>
    </row>
    <row r="325" spans="13:13">
      <c r="M325" s="290"/>
    </row>
    <row r="326" spans="13:13">
      <c r="M326" s="290"/>
    </row>
    <row r="327" spans="13:13">
      <c r="M327" s="290"/>
    </row>
    <row r="328" spans="13:13">
      <c r="M328" s="290"/>
    </row>
    <row r="329" spans="13:13">
      <c r="M329" s="290"/>
    </row>
    <row r="330" spans="13:13">
      <c r="M330" s="290"/>
    </row>
    <row r="331" spans="13:13">
      <c r="M331" s="290"/>
    </row>
    <row r="332" spans="13:13">
      <c r="M332" s="290"/>
    </row>
    <row r="333" spans="13:13">
      <c r="M333" s="290"/>
    </row>
    <row r="334" spans="13:13">
      <c r="M334" s="290"/>
    </row>
    <row r="335" spans="13:13">
      <c r="M335" s="290"/>
    </row>
    <row r="336" spans="13:13">
      <c r="M336" s="290"/>
    </row>
    <row r="337" spans="13:13">
      <c r="M337" s="290"/>
    </row>
    <row r="338" spans="13:13">
      <c r="M338" s="290"/>
    </row>
    <row r="339" spans="13:13">
      <c r="M339" s="290"/>
    </row>
    <row r="340" spans="13:13">
      <c r="M340" s="290"/>
    </row>
    <row r="341" spans="13:13">
      <c r="M341" s="290"/>
    </row>
    <row r="342" spans="13:13">
      <c r="M342" s="290"/>
    </row>
    <row r="343" spans="13:13">
      <c r="M343" s="290"/>
    </row>
    <row r="344" spans="13:13">
      <c r="M344" s="290"/>
    </row>
    <row r="345" spans="13:13">
      <c r="M345" s="290"/>
    </row>
    <row r="346" spans="13:13">
      <c r="M346" s="290"/>
    </row>
    <row r="347" spans="13:13">
      <c r="M347" s="290"/>
    </row>
    <row r="348" spans="13:13">
      <c r="M348" s="290"/>
    </row>
    <row r="349" spans="13:13">
      <c r="M349" s="290"/>
    </row>
    <row r="350" spans="13:13">
      <c r="M350" s="290"/>
    </row>
    <row r="351" spans="13:13">
      <c r="M351" s="290"/>
    </row>
    <row r="352" spans="13:13">
      <c r="M352" s="290"/>
    </row>
    <row r="353" spans="13:13">
      <c r="M353" s="290"/>
    </row>
    <row r="354" spans="13:13">
      <c r="M354" s="290"/>
    </row>
    <row r="355" spans="13:13">
      <c r="M355" s="290"/>
    </row>
    <row r="356" spans="13:13">
      <c r="M356" s="290"/>
    </row>
    <row r="357" spans="13:13">
      <c r="M357" s="290"/>
    </row>
    <row r="358" spans="13:13">
      <c r="M358" s="290"/>
    </row>
    <row r="359" spans="13:13">
      <c r="M359" s="290"/>
    </row>
    <row r="360" spans="13:13">
      <c r="M360" s="290"/>
    </row>
    <row r="361" spans="13:13">
      <c r="M361" s="290"/>
    </row>
    <row r="362" spans="13:13">
      <c r="M362" s="290"/>
    </row>
    <row r="363" spans="13:13">
      <c r="M363" s="290"/>
    </row>
    <row r="364" spans="13:13">
      <c r="M364" s="290"/>
    </row>
    <row r="365" spans="13:13">
      <c r="M365" s="290"/>
    </row>
    <row r="366" spans="13:13">
      <c r="M366" s="290"/>
    </row>
    <row r="367" spans="13:13">
      <c r="M367" s="290"/>
    </row>
    <row r="368" spans="13:13">
      <c r="M368" s="290"/>
    </row>
    <row r="369" spans="13:13">
      <c r="M369" s="290"/>
    </row>
    <row r="370" spans="13:13">
      <c r="M370" s="290"/>
    </row>
    <row r="371" spans="13:13">
      <c r="M371" s="290"/>
    </row>
    <row r="372" spans="13:13">
      <c r="M372" s="290"/>
    </row>
    <row r="373" spans="13:13">
      <c r="M373" s="290"/>
    </row>
    <row r="374" spans="13:13">
      <c r="M374" s="290"/>
    </row>
    <row r="375" spans="13:13">
      <c r="M375" s="290"/>
    </row>
    <row r="376" spans="13:13">
      <c r="M376" s="290"/>
    </row>
    <row r="377" spans="13:13">
      <c r="M377" s="290"/>
    </row>
    <row r="378" spans="13:13">
      <c r="M378" s="290"/>
    </row>
    <row r="379" spans="13:13">
      <c r="M379" s="290"/>
    </row>
    <row r="380" spans="13:13">
      <c r="M380" s="290"/>
    </row>
    <row r="381" spans="13:13">
      <c r="M381" s="290"/>
    </row>
    <row r="382" spans="13:13">
      <c r="M382" s="290"/>
    </row>
    <row r="383" spans="13:13">
      <c r="M383" s="290"/>
    </row>
    <row r="384" spans="13:13">
      <c r="M384" s="290"/>
    </row>
    <row r="385" spans="13:13">
      <c r="M385" s="290"/>
    </row>
    <row r="386" spans="13:13">
      <c r="M386" s="290"/>
    </row>
    <row r="387" spans="13:13">
      <c r="M387" s="290"/>
    </row>
    <row r="388" spans="13:13">
      <c r="M388" s="290"/>
    </row>
    <row r="389" spans="13:13">
      <c r="M389" s="290"/>
    </row>
    <row r="390" spans="13:13">
      <c r="M390" s="290"/>
    </row>
    <row r="391" spans="13:13">
      <c r="M391" s="290"/>
    </row>
    <row r="392" spans="13:13">
      <c r="M392" s="290"/>
    </row>
    <row r="393" spans="13:13">
      <c r="M393" s="290"/>
    </row>
    <row r="394" spans="13:13">
      <c r="M394" s="290"/>
    </row>
    <row r="395" spans="13:13">
      <c r="M395" s="290"/>
    </row>
    <row r="396" spans="13:13">
      <c r="M396" s="290"/>
    </row>
    <row r="397" spans="13:13">
      <c r="M397" s="290"/>
    </row>
    <row r="398" spans="13:13">
      <c r="M398" s="290"/>
    </row>
    <row r="399" spans="13:13">
      <c r="M399" s="290"/>
    </row>
    <row r="400" spans="13:13">
      <c r="M400" s="290"/>
    </row>
    <row r="401" spans="13:13">
      <c r="M401" s="290"/>
    </row>
    <row r="402" spans="13:13">
      <c r="M402" s="290"/>
    </row>
    <row r="403" spans="13:13">
      <c r="M403" s="290"/>
    </row>
    <row r="404" spans="13:13">
      <c r="M404" s="290"/>
    </row>
    <row r="405" spans="13:13">
      <c r="M405" s="290"/>
    </row>
    <row r="406" spans="13:13">
      <c r="M406" s="290"/>
    </row>
    <row r="407" spans="13:13">
      <c r="M407" s="290"/>
    </row>
    <row r="408" spans="13:13">
      <c r="M408" s="290"/>
    </row>
    <row r="409" spans="13:13">
      <c r="M409" s="290"/>
    </row>
    <row r="410" spans="13:13">
      <c r="M410" s="290"/>
    </row>
    <row r="411" spans="13:13">
      <c r="M411" s="290"/>
    </row>
    <row r="412" spans="13:13">
      <c r="M412" s="290"/>
    </row>
    <row r="413" spans="13:13">
      <c r="M413" s="290"/>
    </row>
    <row r="414" spans="13:13">
      <c r="M414" s="290"/>
    </row>
    <row r="415" spans="13:13">
      <c r="M415" s="290"/>
    </row>
    <row r="416" spans="13:13">
      <c r="M416" s="290"/>
    </row>
    <row r="417" spans="13:13">
      <c r="M417" s="290"/>
    </row>
    <row r="418" spans="13:13">
      <c r="M418" s="290"/>
    </row>
    <row r="419" spans="13:13">
      <c r="M419" s="290"/>
    </row>
    <row r="420" spans="13:13">
      <c r="M420" s="290"/>
    </row>
    <row r="421" spans="13:13">
      <c r="M421" s="290"/>
    </row>
    <row r="422" spans="13:13">
      <c r="M422" s="290"/>
    </row>
    <row r="423" spans="13:13">
      <c r="M423" s="290"/>
    </row>
    <row r="424" spans="13:13">
      <c r="M424" s="290"/>
    </row>
    <row r="425" spans="13:13">
      <c r="M425" s="290"/>
    </row>
    <row r="426" spans="13:13">
      <c r="M426" s="290"/>
    </row>
    <row r="427" spans="13:13">
      <c r="M427" s="290"/>
    </row>
    <row r="428" spans="13:13">
      <c r="M428" s="290"/>
    </row>
    <row r="429" spans="13:13">
      <c r="M429" s="290"/>
    </row>
    <row r="430" spans="13:13">
      <c r="M430" s="290"/>
    </row>
    <row r="431" spans="13:13">
      <c r="M431" s="290"/>
    </row>
    <row r="432" spans="13:13">
      <c r="M432" s="290"/>
    </row>
    <row r="433" spans="13:13">
      <c r="M433" s="290"/>
    </row>
    <row r="434" spans="13:13">
      <c r="M434" s="290"/>
    </row>
    <row r="435" spans="13:13">
      <c r="M435" s="290"/>
    </row>
    <row r="436" spans="13:13">
      <c r="M436" s="290"/>
    </row>
    <row r="437" spans="13:13">
      <c r="M437" s="290"/>
    </row>
    <row r="438" spans="13:13">
      <c r="M438" s="290"/>
    </row>
    <row r="439" spans="13:13">
      <c r="M439" s="290"/>
    </row>
    <row r="440" spans="13:13">
      <c r="M440" s="290"/>
    </row>
    <row r="441" spans="13:13">
      <c r="M441" s="290"/>
    </row>
    <row r="442" spans="13:13">
      <c r="M442" s="290"/>
    </row>
    <row r="443" spans="13:13">
      <c r="M443" s="290"/>
    </row>
    <row r="444" spans="13:13">
      <c r="M444" s="290"/>
    </row>
    <row r="445" spans="13:13">
      <c r="M445" s="290"/>
    </row>
    <row r="446" spans="13:13">
      <c r="M446" s="290"/>
    </row>
    <row r="447" spans="13:13">
      <c r="M447" s="290"/>
    </row>
    <row r="448" spans="13:13">
      <c r="M448" s="290"/>
    </row>
    <row r="449" spans="13:13">
      <c r="M449" s="290"/>
    </row>
    <row r="450" spans="13:13">
      <c r="M450" s="290"/>
    </row>
    <row r="451" spans="13:13">
      <c r="M451" s="290"/>
    </row>
    <row r="452" spans="13:13">
      <c r="M452" s="290"/>
    </row>
    <row r="453" spans="13:13">
      <c r="M453" s="290"/>
    </row>
    <row r="454" spans="13:13">
      <c r="M454" s="290"/>
    </row>
    <row r="455" spans="13:13">
      <c r="M455" s="290"/>
    </row>
    <row r="456" spans="13:13">
      <c r="M456" s="290"/>
    </row>
    <row r="457" spans="13:13">
      <c r="M457" s="290"/>
    </row>
    <row r="458" spans="13:13">
      <c r="M458" s="290"/>
    </row>
    <row r="459" spans="13:13">
      <c r="M459" s="290"/>
    </row>
    <row r="460" spans="13:13">
      <c r="M460" s="290"/>
    </row>
    <row r="461" spans="13:13">
      <c r="M461" s="290"/>
    </row>
    <row r="462" spans="13:13">
      <c r="M462" s="290"/>
    </row>
    <row r="463" spans="13:13">
      <c r="M463" s="290"/>
    </row>
    <row r="464" spans="13:13">
      <c r="M464" s="290"/>
    </row>
    <row r="465" spans="13:13">
      <c r="M465" s="290"/>
    </row>
    <row r="466" spans="13:13">
      <c r="M466" s="290"/>
    </row>
    <row r="467" spans="13:13">
      <c r="M467" s="290"/>
    </row>
    <row r="468" spans="13:13">
      <c r="M468" s="290"/>
    </row>
    <row r="469" spans="13:13">
      <c r="M469" s="290"/>
    </row>
    <row r="470" spans="13:13">
      <c r="M470" s="290"/>
    </row>
    <row r="471" spans="13:13">
      <c r="M471" s="290"/>
    </row>
    <row r="472" spans="13:13">
      <c r="M472" s="290"/>
    </row>
    <row r="473" spans="13:13">
      <c r="M473" s="290"/>
    </row>
    <row r="474" spans="13:13">
      <c r="M474" s="290"/>
    </row>
    <row r="475" spans="13:13">
      <c r="M475" s="290"/>
    </row>
    <row r="476" spans="13:13">
      <c r="M476" s="290"/>
    </row>
    <row r="477" spans="13:13">
      <c r="M477" s="290"/>
    </row>
    <row r="478" spans="13:13">
      <c r="M478" s="290"/>
    </row>
    <row r="479" spans="13:13">
      <c r="M479" s="290"/>
    </row>
    <row r="480" spans="13:13">
      <c r="M480" s="290"/>
    </row>
    <row r="481" spans="13:13">
      <c r="M481" s="290"/>
    </row>
    <row r="482" spans="13:13">
      <c r="M482" s="290"/>
    </row>
    <row r="483" spans="13:13">
      <c r="M483" s="290"/>
    </row>
    <row r="484" spans="13:13">
      <c r="M484" s="290"/>
    </row>
    <row r="485" spans="13:13">
      <c r="M485" s="290"/>
    </row>
    <row r="486" spans="13:13">
      <c r="M486" s="290"/>
    </row>
    <row r="487" spans="13:13">
      <c r="M487" s="290"/>
    </row>
    <row r="488" spans="13:13">
      <c r="M488" s="290"/>
    </row>
    <row r="489" spans="13:13">
      <c r="M489" s="290"/>
    </row>
    <row r="490" spans="13:13">
      <c r="M490" s="290"/>
    </row>
    <row r="491" spans="13:13">
      <c r="M491" s="290"/>
    </row>
    <row r="492" spans="13:13">
      <c r="M492" s="290"/>
    </row>
    <row r="493" spans="13:13">
      <c r="M493" s="290"/>
    </row>
    <row r="494" spans="13:13">
      <c r="M494" s="290"/>
    </row>
    <row r="495" spans="13:13">
      <c r="M495" s="290"/>
    </row>
    <row r="496" spans="13:13">
      <c r="M496" s="290"/>
    </row>
    <row r="497" spans="13:13">
      <c r="M497" s="290"/>
    </row>
    <row r="498" spans="13:13">
      <c r="M498" s="290"/>
    </row>
    <row r="499" spans="13:13">
      <c r="M499" s="290"/>
    </row>
    <row r="500" spans="13:13">
      <c r="M500" s="290"/>
    </row>
    <row r="501" spans="13:13">
      <c r="M501" s="290"/>
    </row>
    <row r="502" spans="13:13">
      <c r="M502" s="290"/>
    </row>
    <row r="503" spans="13:13">
      <c r="M503" s="290"/>
    </row>
    <row r="504" spans="13:13">
      <c r="M504" s="290"/>
    </row>
    <row r="505" spans="13:13">
      <c r="M505" s="290"/>
    </row>
    <row r="506" spans="13:13">
      <c r="M506" s="290"/>
    </row>
    <row r="507" spans="13:13">
      <c r="M507" s="290"/>
    </row>
    <row r="508" spans="13:13">
      <c r="M508" s="290"/>
    </row>
    <row r="509" spans="13:13">
      <c r="M509" s="290"/>
    </row>
    <row r="510" spans="13:13">
      <c r="M510" s="290"/>
    </row>
    <row r="511" spans="13:13">
      <c r="M511" s="290"/>
    </row>
    <row r="512" spans="13:13">
      <c r="M512" s="290"/>
    </row>
    <row r="513" spans="13:13">
      <c r="M513" s="290"/>
    </row>
    <row r="514" spans="13:13">
      <c r="M514" s="290"/>
    </row>
    <row r="515" spans="13:13">
      <c r="M515" s="290"/>
    </row>
    <row r="516" spans="13:13">
      <c r="M516" s="290"/>
    </row>
    <row r="517" spans="13:13">
      <c r="M517" s="290"/>
    </row>
    <row r="518" spans="13:13">
      <c r="M518" s="290"/>
    </row>
    <row r="519" spans="13:13">
      <c r="M519" s="290"/>
    </row>
    <row r="520" spans="13:13">
      <c r="M520" s="290"/>
    </row>
    <row r="521" spans="13:13">
      <c r="M521" s="290"/>
    </row>
    <row r="522" spans="13:13">
      <c r="M522" s="290"/>
    </row>
    <row r="523" spans="13:13">
      <c r="M523" s="290"/>
    </row>
    <row r="524" spans="13:13">
      <c r="M524" s="290"/>
    </row>
    <row r="525" spans="13:13">
      <c r="M525" s="290"/>
    </row>
    <row r="526" spans="13:13">
      <c r="M526" s="290"/>
    </row>
    <row r="527" spans="13:13">
      <c r="M527" s="290"/>
    </row>
    <row r="528" spans="13:13">
      <c r="M528" s="290"/>
    </row>
    <row r="529" spans="13:13">
      <c r="M529" s="290"/>
    </row>
    <row r="530" spans="13:13">
      <c r="M530" s="290"/>
    </row>
    <row r="531" spans="13:13">
      <c r="M531" s="290"/>
    </row>
    <row r="532" spans="13:13">
      <c r="M532" s="290"/>
    </row>
    <row r="533" spans="13:13">
      <c r="M533" s="290"/>
    </row>
    <row r="534" spans="13:13">
      <c r="M534" s="290"/>
    </row>
    <row r="535" spans="13:13">
      <c r="M535" s="290"/>
    </row>
    <row r="536" spans="13:13">
      <c r="M536" s="290"/>
    </row>
    <row r="537" spans="13:13">
      <c r="M537" s="290"/>
    </row>
    <row r="538" spans="13:13">
      <c r="M538" s="290"/>
    </row>
    <row r="539" spans="13:13">
      <c r="M539" s="290"/>
    </row>
    <row r="540" spans="13:13">
      <c r="M540" s="290"/>
    </row>
    <row r="541" spans="13:13">
      <c r="M541" s="290"/>
    </row>
    <row r="542" spans="13:13">
      <c r="M542" s="290"/>
    </row>
    <row r="543" spans="13:13">
      <c r="M543" s="290"/>
    </row>
    <row r="544" spans="13:13">
      <c r="M544" s="290"/>
    </row>
    <row r="545" spans="13:13">
      <c r="M545" s="290"/>
    </row>
    <row r="546" spans="13:13">
      <c r="M546" s="290"/>
    </row>
    <row r="547" spans="13:13">
      <c r="M547" s="290"/>
    </row>
    <row r="548" spans="13:13">
      <c r="M548" s="290"/>
    </row>
    <row r="549" spans="13:13">
      <c r="M549" s="290"/>
    </row>
    <row r="550" spans="13:13">
      <c r="M550" s="290"/>
    </row>
    <row r="551" spans="13:13">
      <c r="M551" s="290"/>
    </row>
    <row r="552" spans="13:13">
      <c r="M552" s="290"/>
    </row>
    <row r="553" spans="13:13">
      <c r="M553" s="290"/>
    </row>
    <row r="554" spans="13:13">
      <c r="M554" s="290"/>
    </row>
    <row r="555" spans="13:13">
      <c r="M555" s="290"/>
    </row>
    <row r="556" spans="13:13">
      <c r="M556" s="290"/>
    </row>
    <row r="557" spans="13:13">
      <c r="M557" s="290"/>
    </row>
    <row r="558" spans="13:13">
      <c r="M558" s="290"/>
    </row>
    <row r="559" spans="13:13">
      <c r="M559" s="290"/>
    </row>
    <row r="560" spans="13:13">
      <c r="M560" s="290"/>
    </row>
    <row r="561" spans="13:13">
      <c r="M561" s="290"/>
    </row>
    <row r="562" spans="13:13">
      <c r="M562" s="290"/>
    </row>
    <row r="563" spans="13:13">
      <c r="M563" s="290"/>
    </row>
    <row r="564" spans="13:13">
      <c r="M564" s="290"/>
    </row>
    <row r="565" spans="13:13">
      <c r="M565" s="290"/>
    </row>
    <row r="566" spans="13:13">
      <c r="M566" s="290"/>
    </row>
    <row r="567" spans="13:13">
      <c r="M567" s="290"/>
    </row>
    <row r="568" spans="13:13">
      <c r="M568" s="290"/>
    </row>
    <row r="569" spans="13:13">
      <c r="M569" s="290"/>
    </row>
    <row r="570" spans="13:13">
      <c r="M570" s="290"/>
    </row>
    <row r="571" spans="13:13">
      <c r="M571" s="290"/>
    </row>
    <row r="572" spans="13:13">
      <c r="M572" s="290"/>
    </row>
    <row r="573" spans="13:13">
      <c r="M573" s="290"/>
    </row>
    <row r="574" spans="13:13">
      <c r="M574" s="290"/>
    </row>
    <row r="575" spans="13:13">
      <c r="M575" s="290"/>
    </row>
    <row r="576" spans="13:13">
      <c r="M576" s="290"/>
    </row>
    <row r="577" spans="13:13">
      <c r="M577" s="290"/>
    </row>
    <row r="578" spans="13:13">
      <c r="M578" s="290"/>
    </row>
    <row r="579" spans="13:13">
      <c r="M579" s="290"/>
    </row>
    <row r="580" spans="13:13">
      <c r="M580" s="290"/>
    </row>
    <row r="581" spans="13:13">
      <c r="M581" s="290"/>
    </row>
    <row r="582" spans="13:13">
      <c r="M582" s="290"/>
    </row>
    <row r="583" spans="13:13">
      <c r="M583" s="290"/>
    </row>
    <row r="584" spans="13:13">
      <c r="M584" s="290"/>
    </row>
    <row r="585" spans="13:13">
      <c r="M585" s="290"/>
    </row>
    <row r="586" spans="13:13">
      <c r="M586" s="290"/>
    </row>
    <row r="587" spans="13:13">
      <c r="M587" s="290"/>
    </row>
    <row r="588" spans="13:13">
      <c r="M588" s="290"/>
    </row>
    <row r="589" spans="13:13">
      <c r="M589" s="290"/>
    </row>
    <row r="590" spans="13:13">
      <c r="M590" s="290"/>
    </row>
    <row r="591" spans="13:13">
      <c r="M591" s="290"/>
    </row>
    <row r="592" spans="13:13">
      <c r="M592" s="290"/>
    </row>
    <row r="593" spans="13:13">
      <c r="M593" s="290"/>
    </row>
    <row r="594" spans="13:13">
      <c r="M594" s="290"/>
    </row>
    <row r="595" spans="13:13">
      <c r="M595" s="290"/>
    </row>
    <row r="596" spans="13:13">
      <c r="M596" s="290"/>
    </row>
    <row r="597" spans="13:13">
      <c r="M597" s="290"/>
    </row>
    <row r="598" spans="13:13">
      <c r="M598" s="290"/>
    </row>
    <row r="599" spans="13:13">
      <c r="M599" s="290"/>
    </row>
    <row r="600" spans="13:13">
      <c r="M600" s="290"/>
    </row>
    <row r="601" spans="13:13">
      <c r="M601" s="290"/>
    </row>
    <row r="602" spans="13:13">
      <c r="M602" s="290"/>
    </row>
    <row r="603" spans="13:13">
      <c r="M603" s="290"/>
    </row>
    <row r="604" spans="13:13">
      <c r="M604" s="290"/>
    </row>
    <row r="605" spans="13:13">
      <c r="M605" s="290"/>
    </row>
    <row r="606" spans="13:13">
      <c r="M606" s="290"/>
    </row>
    <row r="607" spans="13:13">
      <c r="M607" s="290"/>
    </row>
    <row r="608" spans="13:13">
      <c r="M608" s="290"/>
    </row>
    <row r="609" spans="13:13">
      <c r="M609" s="290"/>
    </row>
    <row r="610" spans="13:13">
      <c r="M610" s="290"/>
    </row>
    <row r="611" spans="13:13">
      <c r="M611" s="290"/>
    </row>
    <row r="612" spans="13:13">
      <c r="M612" s="290"/>
    </row>
    <row r="613" spans="13:13">
      <c r="M613" s="290"/>
    </row>
    <row r="614" spans="13:13">
      <c r="M614" s="290"/>
    </row>
    <row r="615" spans="13:13">
      <c r="M615" s="290"/>
    </row>
    <row r="616" spans="13:13">
      <c r="M616" s="290"/>
    </row>
    <row r="617" spans="13:13">
      <c r="M617" s="290"/>
    </row>
    <row r="618" spans="13:13">
      <c r="M618" s="290"/>
    </row>
    <row r="619" spans="13:13">
      <c r="M619" s="290"/>
    </row>
    <row r="620" spans="13:13">
      <c r="M620" s="290"/>
    </row>
    <row r="621" spans="13:13">
      <c r="M621" s="290"/>
    </row>
    <row r="622" spans="13:13">
      <c r="M622" s="290"/>
    </row>
    <row r="623" spans="13:13">
      <c r="M623" s="290"/>
    </row>
    <row r="624" spans="13:13">
      <c r="M624" s="290"/>
    </row>
    <row r="625" spans="13:13">
      <c r="M625" s="290"/>
    </row>
    <row r="626" spans="13:13">
      <c r="M626" s="290"/>
    </row>
    <row r="627" spans="13:13">
      <c r="M627" s="290"/>
    </row>
    <row r="628" spans="13:13">
      <c r="M628" s="290"/>
    </row>
    <row r="629" spans="13:13">
      <c r="M629" s="290"/>
    </row>
    <row r="630" spans="13:13">
      <c r="M630" s="290"/>
    </row>
    <row r="631" spans="13:13">
      <c r="M631" s="290"/>
    </row>
    <row r="632" spans="13:13">
      <c r="M632" s="290"/>
    </row>
    <row r="633" spans="13:13">
      <c r="M633" s="290"/>
    </row>
    <row r="634" spans="13:13">
      <c r="M634" s="290"/>
    </row>
    <row r="635" spans="13:13">
      <c r="M635" s="290"/>
    </row>
    <row r="636" spans="13:13">
      <c r="M636" s="290"/>
    </row>
    <row r="637" spans="13:13">
      <c r="M637" s="290"/>
    </row>
    <row r="638" spans="13:13">
      <c r="M638" s="290"/>
    </row>
    <row r="639" spans="13:13">
      <c r="M639" s="290"/>
    </row>
    <row r="640" spans="13:13">
      <c r="M640" s="290"/>
    </row>
    <row r="641" spans="13:13">
      <c r="M641" s="290"/>
    </row>
    <row r="642" spans="13:13">
      <c r="M642" s="290"/>
    </row>
    <row r="643" spans="13:13">
      <c r="M643" s="290"/>
    </row>
    <row r="644" spans="13:13">
      <c r="M644" s="290"/>
    </row>
    <row r="645" spans="13:13">
      <c r="M645" s="290"/>
    </row>
    <row r="646" spans="13:13">
      <c r="M646" s="290"/>
    </row>
    <row r="647" spans="13:13">
      <c r="M647" s="290"/>
    </row>
    <row r="648" spans="13:13">
      <c r="M648" s="290"/>
    </row>
    <row r="649" spans="13:13">
      <c r="M649" s="290"/>
    </row>
    <row r="650" spans="13:13">
      <c r="M650" s="290"/>
    </row>
    <row r="651" spans="13:13">
      <c r="M651" s="290"/>
    </row>
    <row r="652" spans="13:13">
      <c r="M652" s="290"/>
    </row>
    <row r="653" spans="13:13">
      <c r="M653" s="290"/>
    </row>
    <row r="654" spans="13:13">
      <c r="M654" s="290"/>
    </row>
    <row r="655" spans="13:13">
      <c r="M655" s="290"/>
    </row>
    <row r="656" spans="13:13">
      <c r="M656" s="290"/>
    </row>
    <row r="657" spans="13:13">
      <c r="M657" s="290"/>
    </row>
    <row r="658" spans="13:13">
      <c r="M658" s="290"/>
    </row>
    <row r="659" spans="13:13">
      <c r="M659" s="290"/>
    </row>
    <row r="660" spans="13:13">
      <c r="M660" s="290"/>
    </row>
    <row r="661" spans="13:13">
      <c r="M661" s="290"/>
    </row>
    <row r="662" spans="13:13">
      <c r="M662" s="290"/>
    </row>
    <row r="663" spans="13:13">
      <c r="M663" s="290"/>
    </row>
    <row r="664" spans="13:13">
      <c r="M664" s="290"/>
    </row>
    <row r="665" spans="13:13">
      <c r="M665" s="290"/>
    </row>
    <row r="666" spans="13:13">
      <c r="M666" s="290"/>
    </row>
    <row r="667" spans="13:13">
      <c r="M667" s="290"/>
    </row>
    <row r="668" spans="13:13">
      <c r="M668" s="290"/>
    </row>
    <row r="669" spans="13:13">
      <c r="M669" s="290"/>
    </row>
    <row r="670" spans="13:13">
      <c r="M670" s="290"/>
    </row>
    <row r="671" spans="13:13">
      <c r="M671" s="290"/>
    </row>
    <row r="672" spans="13:13">
      <c r="M672" s="290"/>
    </row>
    <row r="673" spans="13:13">
      <c r="M673" s="290"/>
    </row>
    <row r="674" spans="13:13">
      <c r="M674" s="290"/>
    </row>
    <row r="675" spans="13:13">
      <c r="M675" s="290"/>
    </row>
    <row r="676" spans="13:13">
      <c r="M676" s="290"/>
    </row>
    <row r="677" spans="13:13">
      <c r="M677" s="290"/>
    </row>
    <row r="678" spans="13:13">
      <c r="M678" s="290"/>
    </row>
    <row r="679" spans="13:13">
      <c r="M679" s="290"/>
    </row>
    <row r="680" spans="13:13">
      <c r="M680" s="290"/>
    </row>
    <row r="681" spans="13:13">
      <c r="M681" s="290"/>
    </row>
    <row r="682" spans="13:13">
      <c r="M682" s="290"/>
    </row>
    <row r="683" spans="13:13">
      <c r="M683" s="290"/>
    </row>
    <row r="684" spans="13:13">
      <c r="M684" s="290"/>
    </row>
    <row r="685" spans="13:13">
      <c r="M685" s="290"/>
    </row>
    <row r="686" spans="13:13">
      <c r="M686" s="290"/>
    </row>
    <row r="687" spans="13:13">
      <c r="M687" s="290"/>
    </row>
    <row r="688" spans="13:13">
      <c r="M688" s="290"/>
    </row>
    <row r="689" spans="13:13">
      <c r="M689" s="290"/>
    </row>
    <row r="690" spans="13:13">
      <c r="M690" s="290"/>
    </row>
    <row r="691" spans="13:13">
      <c r="M691" s="290"/>
    </row>
    <row r="692" spans="13:13">
      <c r="M692" s="290"/>
    </row>
    <row r="693" spans="13:13">
      <c r="M693" s="290"/>
    </row>
    <row r="694" spans="13:13">
      <c r="M694" s="290"/>
    </row>
    <row r="695" spans="13:13">
      <c r="M695" s="290"/>
    </row>
    <row r="696" spans="13:13">
      <c r="M696" s="290"/>
    </row>
    <row r="697" spans="13:13">
      <c r="M697" s="290"/>
    </row>
    <row r="698" spans="13:13">
      <c r="M698" s="290"/>
    </row>
    <row r="699" spans="13:13">
      <c r="M699" s="290"/>
    </row>
    <row r="700" spans="13:13">
      <c r="M700" s="290"/>
    </row>
    <row r="701" spans="13:13">
      <c r="M701" s="290"/>
    </row>
    <row r="702" spans="13:13">
      <c r="M702" s="290"/>
    </row>
    <row r="703" spans="13:13">
      <c r="M703" s="290"/>
    </row>
    <row r="704" spans="13:13">
      <c r="M704" s="290"/>
    </row>
    <row r="705" spans="13:13">
      <c r="M705" s="290"/>
    </row>
    <row r="706" spans="13:13">
      <c r="M706" s="290"/>
    </row>
    <row r="707" spans="13:13">
      <c r="M707" s="290"/>
    </row>
    <row r="708" spans="13:13">
      <c r="M708" s="290"/>
    </row>
    <row r="709" spans="13:13">
      <c r="M709" s="290"/>
    </row>
    <row r="710" spans="13:13">
      <c r="M710" s="290"/>
    </row>
    <row r="711" spans="13:13">
      <c r="M711" s="290"/>
    </row>
    <row r="712" spans="13:13">
      <c r="M712" s="290"/>
    </row>
    <row r="713" spans="13:13">
      <c r="M713" s="290"/>
    </row>
    <row r="714" spans="13:13">
      <c r="M714" s="290"/>
    </row>
    <row r="715" spans="13:13">
      <c r="M715" s="290"/>
    </row>
    <row r="716" spans="13:13">
      <c r="M716" s="290"/>
    </row>
    <row r="717" spans="13:13">
      <c r="M717" s="290"/>
    </row>
    <row r="718" spans="13:13">
      <c r="M718" s="290"/>
    </row>
    <row r="719" spans="13:13">
      <c r="M719" s="290"/>
    </row>
    <row r="720" spans="13:13">
      <c r="M720" s="290"/>
    </row>
    <row r="721" spans="13:13">
      <c r="M721" s="290"/>
    </row>
    <row r="722" spans="13:13">
      <c r="M722" s="290"/>
    </row>
    <row r="723" spans="13:13">
      <c r="M723" s="290"/>
    </row>
    <row r="724" spans="13:13">
      <c r="M724" s="290"/>
    </row>
    <row r="725" spans="13:13">
      <c r="M725" s="290"/>
    </row>
    <row r="726" spans="13:13">
      <c r="M726" s="290"/>
    </row>
    <row r="727" spans="13:13">
      <c r="M727" s="290"/>
    </row>
    <row r="728" spans="13:13">
      <c r="M728" s="290"/>
    </row>
    <row r="729" spans="13:13">
      <c r="M729" s="290"/>
    </row>
    <row r="730" spans="13:13">
      <c r="M730" s="290"/>
    </row>
    <row r="731" spans="13:13">
      <c r="M731" s="290"/>
    </row>
    <row r="732" spans="13:13">
      <c r="M732" s="290"/>
    </row>
    <row r="733" spans="13:13">
      <c r="M733" s="290"/>
    </row>
    <row r="734" spans="13:13">
      <c r="M734" s="290"/>
    </row>
    <row r="735" spans="13:13">
      <c r="M735" s="290"/>
    </row>
    <row r="736" spans="13:13">
      <c r="M736" s="290"/>
    </row>
    <row r="737" spans="13:13">
      <c r="M737" s="290"/>
    </row>
    <row r="738" spans="13:13">
      <c r="M738" s="290"/>
    </row>
    <row r="739" spans="13:13">
      <c r="M739" s="290"/>
    </row>
    <row r="740" spans="13:13">
      <c r="M740" s="290"/>
    </row>
    <row r="741" spans="13:13">
      <c r="M741" s="290"/>
    </row>
    <row r="742" spans="13:13">
      <c r="M742" s="290"/>
    </row>
    <row r="743" spans="13:13">
      <c r="M743" s="290"/>
    </row>
    <row r="744" spans="13:13">
      <c r="M744" s="290"/>
    </row>
    <row r="745" spans="13:13">
      <c r="M745" s="290"/>
    </row>
    <row r="746" spans="13:13">
      <c r="M746" s="290"/>
    </row>
    <row r="747" spans="13:13">
      <c r="M747" s="290"/>
    </row>
    <row r="748" spans="13:13">
      <c r="M748" s="290"/>
    </row>
    <row r="749" spans="13:13">
      <c r="M749" s="290"/>
    </row>
    <row r="750" spans="13:13">
      <c r="M750" s="290"/>
    </row>
    <row r="751" spans="13:13">
      <c r="M751" s="290"/>
    </row>
    <row r="752" spans="13:13">
      <c r="M752" s="290"/>
    </row>
    <row r="753" spans="13:13">
      <c r="M753" s="290"/>
    </row>
    <row r="754" spans="13:13">
      <c r="M754" s="290"/>
    </row>
    <row r="755" spans="13:13">
      <c r="M755" s="290"/>
    </row>
    <row r="756" spans="13:13">
      <c r="M756" s="290"/>
    </row>
    <row r="757" spans="13:13">
      <c r="M757" s="290"/>
    </row>
    <row r="758" spans="13:13">
      <c r="M758" s="290"/>
    </row>
    <row r="759" spans="13:13">
      <c r="M759" s="290"/>
    </row>
    <row r="760" spans="13:13">
      <c r="M760" s="290"/>
    </row>
    <row r="761" spans="13:13">
      <c r="M761" s="290"/>
    </row>
    <row r="762" spans="13:13">
      <c r="M762" s="290"/>
    </row>
    <row r="763" spans="13:13">
      <c r="M763" s="290"/>
    </row>
    <row r="764" spans="13:13">
      <c r="M764" s="290"/>
    </row>
    <row r="765" spans="13:13">
      <c r="M765" s="290"/>
    </row>
    <row r="766" spans="13:13">
      <c r="M766" s="290"/>
    </row>
    <row r="767" spans="13:13">
      <c r="M767" s="290"/>
    </row>
    <row r="768" spans="13:13">
      <c r="M768" s="290"/>
    </row>
    <row r="769" spans="13:13">
      <c r="M769" s="290"/>
    </row>
    <row r="770" spans="13:13">
      <c r="M770" s="290"/>
    </row>
    <row r="771" spans="13:13">
      <c r="M771" s="290"/>
    </row>
    <row r="772" spans="13:13">
      <c r="M772" s="290"/>
    </row>
    <row r="773" spans="13:13">
      <c r="M773" s="290"/>
    </row>
    <row r="774" spans="13:13">
      <c r="M774" s="290"/>
    </row>
    <row r="775" spans="13:13">
      <c r="M775" s="290"/>
    </row>
    <row r="776" spans="13:13">
      <c r="M776" s="290"/>
    </row>
    <row r="777" spans="13:13">
      <c r="M777" s="290"/>
    </row>
    <row r="778" spans="13:13">
      <c r="M778" s="290"/>
    </row>
    <row r="779" spans="13:13">
      <c r="M779" s="290"/>
    </row>
    <row r="780" spans="13:13">
      <c r="M780" s="290"/>
    </row>
    <row r="781" spans="13:13">
      <c r="M781" s="290"/>
    </row>
    <row r="782" spans="13:13">
      <c r="M782" s="290"/>
    </row>
    <row r="783" spans="13:13">
      <c r="M783" s="290"/>
    </row>
    <row r="784" spans="13:13">
      <c r="M784" s="290"/>
    </row>
    <row r="785" spans="13:13">
      <c r="M785" s="290"/>
    </row>
    <row r="786" spans="13:13">
      <c r="M786" s="290"/>
    </row>
    <row r="787" spans="13:13">
      <c r="M787" s="290"/>
    </row>
    <row r="788" spans="13:13">
      <c r="M788" s="290"/>
    </row>
    <row r="789" spans="13:13">
      <c r="M789" s="290"/>
    </row>
    <row r="790" spans="13:13">
      <c r="M790" s="290"/>
    </row>
    <row r="791" spans="13:13">
      <c r="M791" s="290"/>
    </row>
    <row r="792" spans="13:13">
      <c r="M792" s="290"/>
    </row>
    <row r="793" spans="13:13">
      <c r="M793" s="290"/>
    </row>
    <row r="794" spans="13:13">
      <c r="M794" s="290"/>
    </row>
    <row r="795" spans="13:13">
      <c r="M795" s="290"/>
    </row>
    <row r="796" spans="13:13">
      <c r="M796" s="290"/>
    </row>
    <row r="797" spans="13:13">
      <c r="M797" s="290"/>
    </row>
    <row r="798" spans="13:13">
      <c r="M798" s="290"/>
    </row>
    <row r="799" spans="13:13">
      <c r="M799" s="290"/>
    </row>
    <row r="800" spans="13:13">
      <c r="M800" s="290"/>
    </row>
    <row r="801" spans="13:13">
      <c r="M801" s="290"/>
    </row>
    <row r="802" spans="13:13">
      <c r="M802" s="290"/>
    </row>
    <row r="803" spans="13:13">
      <c r="M803" s="290"/>
    </row>
    <row r="804" spans="13:13">
      <c r="M804" s="290"/>
    </row>
    <row r="805" spans="13:13">
      <c r="M805" s="290"/>
    </row>
    <row r="806" spans="13:13">
      <c r="M806" s="290"/>
    </row>
    <row r="807" spans="13:13">
      <c r="M807" s="290"/>
    </row>
    <row r="808" spans="13:13">
      <c r="M808" s="290"/>
    </row>
    <row r="809" spans="13:13">
      <c r="M809" s="290"/>
    </row>
    <row r="810" spans="13:13">
      <c r="M810" s="290"/>
    </row>
    <row r="811" spans="13:13">
      <c r="M811" s="290"/>
    </row>
    <row r="812" spans="13:13">
      <c r="M812" s="290"/>
    </row>
    <row r="813" spans="13:13">
      <c r="M813" s="290"/>
    </row>
    <row r="814" spans="13:13">
      <c r="M814" s="290"/>
    </row>
    <row r="815" spans="13:13">
      <c r="M815" s="290"/>
    </row>
    <row r="816" spans="13:13">
      <c r="M816" s="290"/>
    </row>
    <row r="817" spans="13:13">
      <c r="M817" s="290"/>
    </row>
    <row r="818" spans="13:13">
      <c r="M818" s="290"/>
    </row>
    <row r="819" spans="13:13">
      <c r="M819" s="290"/>
    </row>
    <row r="820" spans="13:13">
      <c r="M820" s="290"/>
    </row>
    <row r="821" spans="13:13">
      <c r="M821" s="290"/>
    </row>
    <row r="822" spans="13:13">
      <c r="M822" s="290"/>
    </row>
    <row r="823" spans="13:13">
      <c r="M823" s="290"/>
    </row>
    <row r="824" spans="13:13">
      <c r="M824" s="290"/>
    </row>
    <row r="825" spans="13:13">
      <c r="M825" s="290"/>
    </row>
    <row r="826" spans="13:13">
      <c r="M826" s="290"/>
    </row>
    <row r="827" spans="13:13">
      <c r="M827" s="290"/>
    </row>
    <row r="828" spans="13:13">
      <c r="M828" s="290"/>
    </row>
    <row r="829" spans="13:13">
      <c r="M829" s="290"/>
    </row>
    <row r="830" spans="13:13">
      <c r="M830" s="290"/>
    </row>
    <row r="831" spans="13:13">
      <c r="M831" s="290"/>
    </row>
    <row r="832" spans="13:13">
      <c r="M832" s="290"/>
    </row>
    <row r="833" spans="13:13">
      <c r="M833" s="290"/>
    </row>
    <row r="834" spans="13:13">
      <c r="M834" s="290"/>
    </row>
    <row r="835" spans="13:13">
      <c r="M835" s="290"/>
    </row>
    <row r="836" spans="13:13">
      <c r="M836" s="290"/>
    </row>
    <row r="837" spans="13:13">
      <c r="M837" s="290"/>
    </row>
    <row r="838" spans="13:13">
      <c r="M838" s="290"/>
    </row>
    <row r="839" spans="13:13">
      <c r="M839" s="290"/>
    </row>
    <row r="840" spans="13:13">
      <c r="M840" s="290"/>
    </row>
    <row r="841" spans="13:13">
      <c r="M841" s="290"/>
    </row>
    <row r="842" spans="13:13">
      <c r="M842" s="290"/>
    </row>
    <row r="843" spans="13:13">
      <c r="M843" s="290"/>
    </row>
    <row r="844" spans="13:13">
      <c r="M844" s="290"/>
    </row>
    <row r="845" spans="13:13">
      <c r="M845" s="290"/>
    </row>
    <row r="846" spans="13:13">
      <c r="M846" s="290"/>
    </row>
    <row r="847" spans="13:13">
      <c r="M847" s="290"/>
    </row>
    <row r="848" spans="13:13">
      <c r="M848" s="290"/>
    </row>
    <row r="849" spans="13:13">
      <c r="M849" s="290"/>
    </row>
    <row r="850" spans="13:13">
      <c r="M850" s="290"/>
    </row>
    <row r="851" spans="13:13">
      <c r="M851" s="290"/>
    </row>
    <row r="852" spans="13:13">
      <c r="M852" s="290"/>
    </row>
    <row r="853" spans="13:13">
      <c r="M853" s="290"/>
    </row>
    <row r="854" spans="13:13">
      <c r="M854" s="290"/>
    </row>
    <row r="855" spans="13:13">
      <c r="M855" s="290"/>
    </row>
    <row r="856" spans="13:13">
      <c r="M856" s="290"/>
    </row>
    <row r="857" spans="13:13">
      <c r="M857" s="290"/>
    </row>
    <row r="858" spans="13:13">
      <c r="M858" s="290"/>
    </row>
    <row r="859" spans="13:13">
      <c r="M859" s="290"/>
    </row>
    <row r="860" spans="13:13">
      <c r="M860" s="290"/>
    </row>
    <row r="861" spans="13:13">
      <c r="M861" s="290"/>
    </row>
    <row r="862" spans="13:13">
      <c r="M862" s="290"/>
    </row>
    <row r="863" spans="13:13">
      <c r="M863" s="290"/>
    </row>
    <row r="864" spans="13:13">
      <c r="M864" s="290"/>
    </row>
    <row r="865" spans="13:13">
      <c r="M865" s="290"/>
    </row>
    <row r="866" spans="13:13">
      <c r="M866" s="290"/>
    </row>
    <row r="867" spans="13:13">
      <c r="M867" s="290"/>
    </row>
    <row r="868" spans="13:13">
      <c r="M868" s="290"/>
    </row>
    <row r="869" spans="13:13">
      <c r="M869" s="290"/>
    </row>
    <row r="870" spans="13:13">
      <c r="M870" s="290"/>
    </row>
    <row r="871" spans="13:13">
      <c r="M871" s="290"/>
    </row>
    <row r="872" spans="13:13">
      <c r="M872" s="290"/>
    </row>
    <row r="873" spans="13:13">
      <c r="M873" s="290"/>
    </row>
    <row r="874" spans="13:13">
      <c r="M874" s="290"/>
    </row>
    <row r="875" spans="13:13">
      <c r="M875" s="290"/>
    </row>
    <row r="876" spans="13:13">
      <c r="M876" s="290"/>
    </row>
    <row r="877" spans="13:13">
      <c r="M877" s="290"/>
    </row>
    <row r="878" spans="13:13">
      <c r="M878" s="290"/>
    </row>
    <row r="879" spans="13:13">
      <c r="M879" s="290"/>
    </row>
    <row r="880" spans="13:13">
      <c r="M880" s="290"/>
    </row>
    <row r="881" spans="13:13">
      <c r="M881" s="290"/>
    </row>
    <row r="882" spans="13:13">
      <c r="M882" s="290"/>
    </row>
    <row r="883" spans="13:13">
      <c r="M883" s="290"/>
    </row>
    <row r="884" spans="13:13">
      <c r="M884" s="290"/>
    </row>
    <row r="885" spans="13:13">
      <c r="M885" s="290"/>
    </row>
    <row r="886" spans="13:13">
      <c r="M886" s="290"/>
    </row>
    <row r="887" spans="13:13">
      <c r="M887" s="290"/>
    </row>
    <row r="888" spans="13:13">
      <c r="M888" s="290"/>
    </row>
    <row r="889" spans="13:13">
      <c r="M889" s="290"/>
    </row>
    <row r="890" spans="13:13">
      <c r="M890" s="290"/>
    </row>
    <row r="891" spans="13:13">
      <c r="M891" s="290"/>
    </row>
    <row r="892" spans="13:13">
      <c r="M892" s="290"/>
    </row>
    <row r="893" spans="13:13">
      <c r="M893" s="290"/>
    </row>
    <row r="894" spans="13:13">
      <c r="M894" s="290"/>
    </row>
    <row r="895" spans="13:13">
      <c r="M895" s="290"/>
    </row>
    <row r="896" spans="13:13">
      <c r="M896" s="290"/>
    </row>
    <row r="897" spans="13:13">
      <c r="M897" s="290"/>
    </row>
    <row r="898" spans="13:13">
      <c r="M898" s="290"/>
    </row>
    <row r="899" spans="13:13">
      <c r="M899" s="290"/>
    </row>
    <row r="900" spans="13:13">
      <c r="M900" s="290"/>
    </row>
    <row r="901" spans="13:13">
      <c r="M901" s="290"/>
    </row>
    <row r="902" spans="13:13">
      <c r="M902" s="290"/>
    </row>
    <row r="903" spans="13:13">
      <c r="M903" s="290"/>
    </row>
    <row r="904" spans="13:13">
      <c r="M904" s="290"/>
    </row>
    <row r="905" spans="13:13">
      <c r="M905" s="290"/>
    </row>
    <row r="906" spans="13:13">
      <c r="M906" s="290"/>
    </row>
    <row r="907" spans="13:13">
      <c r="M907" s="290"/>
    </row>
    <row r="908" spans="13:13">
      <c r="M908" s="290"/>
    </row>
    <row r="909" spans="13:13">
      <c r="M909" s="290"/>
    </row>
    <row r="910" spans="13:13">
      <c r="M910" s="290"/>
    </row>
    <row r="911" spans="13:13">
      <c r="M911" s="290"/>
    </row>
    <row r="912" spans="13:13">
      <c r="M912" s="290"/>
    </row>
    <row r="913" spans="13:13">
      <c r="M913" s="290"/>
    </row>
    <row r="914" spans="13:13">
      <c r="M914" s="290"/>
    </row>
    <row r="915" spans="13:13">
      <c r="M915" s="290"/>
    </row>
    <row r="916" spans="13:13">
      <c r="M916" s="290"/>
    </row>
    <row r="917" spans="13:13">
      <c r="M917" s="290"/>
    </row>
    <row r="918" spans="13:13">
      <c r="M918" s="290"/>
    </row>
    <row r="919" spans="13:13">
      <c r="M919" s="290"/>
    </row>
    <row r="920" spans="13:13">
      <c r="M920" s="290"/>
    </row>
    <row r="921" spans="13:13">
      <c r="M921" s="290"/>
    </row>
    <row r="922" spans="13:13">
      <c r="M922" s="290"/>
    </row>
    <row r="923" spans="13:13">
      <c r="M923" s="290"/>
    </row>
    <row r="924" spans="13:13">
      <c r="M924" s="290"/>
    </row>
    <row r="925" spans="13:13">
      <c r="M925" s="290"/>
    </row>
    <row r="926" spans="13:13">
      <c r="M926" s="290"/>
    </row>
    <row r="927" spans="13:13">
      <c r="M927" s="290"/>
    </row>
    <row r="928" spans="13:13">
      <c r="M928" s="290"/>
    </row>
    <row r="929" spans="13:13">
      <c r="M929" s="290"/>
    </row>
    <row r="930" spans="13:13">
      <c r="M930" s="290"/>
    </row>
    <row r="931" spans="13:13">
      <c r="M931" s="290"/>
    </row>
    <row r="932" spans="13:13">
      <c r="M932" s="290"/>
    </row>
    <row r="933" spans="13:13">
      <c r="M933" s="290"/>
    </row>
    <row r="934" spans="13:13">
      <c r="M934" s="290"/>
    </row>
    <row r="935" spans="13:13">
      <c r="M935" s="290"/>
    </row>
    <row r="936" spans="13:13">
      <c r="M936" s="290"/>
    </row>
    <row r="937" spans="13:13">
      <c r="M937" s="290"/>
    </row>
    <row r="938" spans="13:13">
      <c r="M938" s="290"/>
    </row>
    <row r="939" spans="13:13">
      <c r="M939" s="290"/>
    </row>
    <row r="940" spans="13:13">
      <c r="M940" s="290"/>
    </row>
    <row r="941" spans="13:13">
      <c r="M941" s="290"/>
    </row>
    <row r="942" spans="13:13">
      <c r="M942" s="290"/>
    </row>
    <row r="943" spans="13:13">
      <c r="M943" s="290"/>
    </row>
    <row r="944" spans="13:13">
      <c r="M944" s="290"/>
    </row>
    <row r="945" spans="13:13">
      <c r="M945" s="290"/>
    </row>
    <row r="946" spans="13:13">
      <c r="M946" s="290"/>
    </row>
    <row r="947" spans="13:13">
      <c r="M947" s="290"/>
    </row>
    <row r="948" spans="13:13">
      <c r="M948" s="290"/>
    </row>
    <row r="949" spans="13:13">
      <c r="M949" s="290"/>
    </row>
    <row r="950" spans="13:13">
      <c r="M950" s="290"/>
    </row>
    <row r="951" spans="13:13">
      <c r="M951" s="290"/>
    </row>
    <row r="952" spans="13:13">
      <c r="M952" s="290"/>
    </row>
    <row r="953" spans="13:13">
      <c r="M953" s="290"/>
    </row>
    <row r="954" spans="13:13">
      <c r="M954" s="290"/>
    </row>
    <row r="955" spans="13:13">
      <c r="M955" s="290"/>
    </row>
    <row r="956" spans="13:13">
      <c r="M956" s="290"/>
    </row>
    <row r="957" spans="13:13">
      <c r="M957" s="290"/>
    </row>
    <row r="958" spans="13:13">
      <c r="M958" s="290"/>
    </row>
    <row r="959" spans="13:13">
      <c r="M959" s="290"/>
    </row>
    <row r="960" spans="13:13">
      <c r="M960" s="290"/>
    </row>
    <row r="961" spans="13:13">
      <c r="M961" s="290"/>
    </row>
    <row r="962" spans="13:13">
      <c r="M962" s="290"/>
    </row>
    <row r="963" spans="13:13">
      <c r="M963" s="290"/>
    </row>
    <row r="964" spans="13:13">
      <c r="M964" s="290"/>
    </row>
    <row r="965" spans="13:13">
      <c r="M965" s="290"/>
    </row>
    <row r="966" spans="13:13">
      <c r="M966" s="290"/>
    </row>
    <row r="967" spans="13:13">
      <c r="M967" s="290"/>
    </row>
    <row r="968" spans="13:13">
      <c r="M968" s="290"/>
    </row>
    <row r="969" spans="13:13">
      <c r="M969" s="290"/>
    </row>
    <row r="970" spans="13:13">
      <c r="M970" s="290"/>
    </row>
    <row r="971" spans="13:13">
      <c r="M971" s="290"/>
    </row>
    <row r="972" spans="13:13">
      <c r="M972" s="290"/>
    </row>
    <row r="973" spans="13:13">
      <c r="M973" s="290"/>
    </row>
    <row r="974" spans="13:13">
      <c r="M974" s="290"/>
    </row>
    <row r="975" spans="13:13">
      <c r="M975" s="290"/>
    </row>
    <row r="976" spans="13:13">
      <c r="M976" s="290"/>
    </row>
    <row r="977" spans="13:13">
      <c r="M977" s="290"/>
    </row>
    <row r="978" spans="13:13">
      <c r="M978" s="290"/>
    </row>
    <row r="979" spans="13:13">
      <c r="M979" s="290"/>
    </row>
    <row r="980" spans="13:13">
      <c r="M980" s="290"/>
    </row>
    <row r="981" spans="13:13">
      <c r="M981" s="290"/>
    </row>
    <row r="982" spans="13:13">
      <c r="M982" s="290"/>
    </row>
    <row r="983" spans="13:13">
      <c r="M983" s="290"/>
    </row>
    <row r="984" spans="13:13">
      <c r="M984" s="290"/>
    </row>
    <row r="985" spans="13:13">
      <c r="M985" s="290"/>
    </row>
    <row r="986" spans="13:13">
      <c r="M986" s="290"/>
    </row>
    <row r="987" spans="13:13">
      <c r="M987" s="290"/>
    </row>
    <row r="988" spans="13:13">
      <c r="M988" s="290"/>
    </row>
    <row r="989" spans="13:13">
      <c r="M989" s="290"/>
    </row>
    <row r="990" spans="13:13">
      <c r="M990" s="290"/>
    </row>
    <row r="991" spans="13:13">
      <c r="M991" s="290"/>
    </row>
    <row r="992" spans="13:13">
      <c r="M992" s="290"/>
    </row>
    <row r="993" spans="13:13">
      <c r="M993" s="290"/>
    </row>
    <row r="994" spans="13:13">
      <c r="M994" s="290"/>
    </row>
    <row r="995" spans="13:13">
      <c r="M995" s="290"/>
    </row>
    <row r="996" spans="13:13">
      <c r="M996" s="290"/>
    </row>
    <row r="997" spans="13:13">
      <c r="M997" s="290"/>
    </row>
    <row r="998" spans="13:13">
      <c r="M998" s="290"/>
    </row>
    <row r="999" spans="13:13">
      <c r="M999" s="290"/>
    </row>
    <row r="1000" spans="13:13">
      <c r="M1000" s="290"/>
    </row>
    <row r="1001" spans="13:13">
      <c r="M1001" s="290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C78D8"/>
    <outlinePr summaryBelow="0" summaryRight="0"/>
  </sheetPr>
  <dimension ref="A1:O1002"/>
  <sheetViews>
    <sheetView workbookViewId="0">
      <selection activeCell="K5" sqref="K5"/>
    </sheetView>
  </sheetViews>
  <sheetFormatPr defaultColWidth="14.42578125" defaultRowHeight="15" customHeight="1"/>
  <cols>
    <col min="1" max="1" width="12.85546875" style="259" customWidth="1"/>
    <col min="2" max="2" width="20.7109375" style="259" customWidth="1"/>
    <col min="3" max="3" width="24.85546875" style="259" customWidth="1"/>
    <col min="4" max="4" width="18" style="259" customWidth="1"/>
    <col min="5" max="5" width="23.5703125" style="259" customWidth="1"/>
    <col min="6" max="6" width="18.140625" style="259" customWidth="1"/>
    <col min="7" max="7" width="21" style="259" customWidth="1"/>
    <col min="8" max="8" width="22.140625" style="259" customWidth="1"/>
    <col min="9" max="9" width="15.7109375" style="259" customWidth="1"/>
    <col min="10" max="10" width="5.85546875" style="259" customWidth="1"/>
    <col min="11" max="11" width="47.28515625" style="259" customWidth="1"/>
    <col min="12" max="12" width="6.85546875" style="259" customWidth="1"/>
    <col min="13" max="13" width="30" style="259" customWidth="1"/>
  </cols>
  <sheetData>
    <row r="1" spans="1:15">
      <c r="A1" s="67" t="s">
        <v>1057</v>
      </c>
      <c r="B1" s="67"/>
      <c r="C1" s="67"/>
      <c r="D1" s="67"/>
      <c r="E1" s="67"/>
      <c r="F1" s="67"/>
      <c r="G1" s="67"/>
      <c r="H1" s="67"/>
      <c r="I1" s="67"/>
      <c r="J1" s="68"/>
      <c r="K1" s="68"/>
      <c r="L1" s="68"/>
      <c r="M1" s="287"/>
      <c r="N1" s="69"/>
      <c r="O1" s="69"/>
    </row>
    <row r="2" spans="1:15">
      <c r="A2" s="70" t="s">
        <v>1116</v>
      </c>
      <c r="B2" s="71" t="s">
        <v>1117</v>
      </c>
      <c r="C2" s="72" t="s">
        <v>1118</v>
      </c>
      <c r="D2" s="72" t="s">
        <v>1119</v>
      </c>
      <c r="E2" s="72" t="s">
        <v>1120</v>
      </c>
      <c r="F2" s="72" t="s">
        <v>1121</v>
      </c>
      <c r="G2" s="72" t="s">
        <v>1122</v>
      </c>
      <c r="H2" s="72" t="s">
        <v>1123</v>
      </c>
      <c r="I2" s="72" t="s">
        <v>1207</v>
      </c>
      <c r="J2" s="68"/>
      <c r="K2" s="68"/>
      <c r="L2" s="68"/>
      <c r="M2" s="287"/>
      <c r="N2" s="69"/>
      <c r="O2" s="69"/>
    </row>
    <row r="3" spans="1:15" ht="114" customHeight="1">
      <c r="A3" s="73">
        <v>1</v>
      </c>
      <c r="B3" s="74" t="s">
        <v>1302</v>
      </c>
      <c r="C3" s="75" t="s">
        <v>161</v>
      </c>
      <c r="D3" s="76" t="s">
        <v>1448</v>
      </c>
      <c r="E3" s="76" t="s">
        <v>1211</v>
      </c>
      <c r="F3" s="77"/>
      <c r="G3" s="77"/>
      <c r="H3" s="76" t="s">
        <v>1449</v>
      </c>
      <c r="I3" s="76"/>
      <c r="J3" s="68"/>
      <c r="K3" s="68"/>
      <c r="L3" s="68"/>
      <c r="M3" s="287"/>
      <c r="N3" s="69"/>
      <c r="O3" s="69"/>
    </row>
    <row r="4" spans="1:15" ht="33" customHeight="1">
      <c r="A4" s="73">
        <v>2</v>
      </c>
      <c r="B4" s="74" t="s">
        <v>1302</v>
      </c>
      <c r="C4" s="75" t="s">
        <v>70</v>
      </c>
      <c r="D4" s="76" t="s">
        <v>1450</v>
      </c>
      <c r="E4" s="76" t="s">
        <v>1217</v>
      </c>
      <c r="F4" s="77" t="s">
        <v>1218</v>
      </c>
      <c r="G4" s="77" t="s">
        <v>1451</v>
      </c>
      <c r="H4" s="76"/>
      <c r="I4" s="76"/>
      <c r="J4" s="68"/>
      <c r="K4" s="68"/>
      <c r="L4" s="68"/>
      <c r="M4" s="287"/>
      <c r="N4" s="69"/>
      <c r="O4" s="69"/>
    </row>
    <row r="5" spans="1:15" ht="28.5" customHeight="1">
      <c r="A5" s="78">
        <v>3</v>
      </c>
      <c r="B5" s="74" t="s">
        <v>1302</v>
      </c>
      <c r="C5" s="79" t="s">
        <v>75</v>
      </c>
      <c r="D5" s="80" t="s">
        <v>1452</v>
      </c>
      <c r="E5" s="80" t="s">
        <v>1217</v>
      </c>
      <c r="F5" s="77" t="s">
        <v>1218</v>
      </c>
      <c r="G5" s="77" t="s">
        <v>1451</v>
      </c>
      <c r="H5" s="76"/>
      <c r="I5" s="76"/>
      <c r="J5" s="68"/>
      <c r="K5" s="68"/>
      <c r="L5" s="68"/>
      <c r="M5" s="287"/>
      <c r="N5" s="69"/>
      <c r="O5" s="69"/>
    </row>
    <row r="6" spans="1:15">
      <c r="A6" s="68"/>
      <c r="B6" s="68"/>
      <c r="C6" s="68"/>
      <c r="D6" s="68"/>
      <c r="E6" s="80"/>
      <c r="F6" s="80"/>
      <c r="G6" s="68"/>
      <c r="H6" s="68"/>
      <c r="I6" s="68"/>
      <c r="J6" s="68"/>
      <c r="K6" s="68"/>
      <c r="L6" s="68"/>
      <c r="M6" s="287"/>
      <c r="N6" s="69"/>
      <c r="O6" s="69"/>
    </row>
    <row r="7" spans="1:15">
      <c r="A7" s="67" t="s">
        <v>1058</v>
      </c>
      <c r="B7" s="67" t="s">
        <v>1059</v>
      </c>
      <c r="C7" s="67" t="s">
        <v>1065</v>
      </c>
      <c r="D7" s="67" t="s">
        <v>1066</v>
      </c>
      <c r="E7" s="67" t="s">
        <v>1068</v>
      </c>
      <c r="F7" s="67" t="s">
        <v>1067</v>
      </c>
      <c r="G7" s="67" t="s">
        <v>1069</v>
      </c>
      <c r="H7" s="67" t="s">
        <v>1070</v>
      </c>
      <c r="I7" s="67" t="s">
        <v>1071</v>
      </c>
      <c r="J7" s="67" t="s">
        <v>1072</v>
      </c>
      <c r="K7" s="67" t="s">
        <v>1073</v>
      </c>
      <c r="L7" s="67" t="s">
        <v>1453</v>
      </c>
      <c r="M7" s="288" t="s">
        <v>1454</v>
      </c>
      <c r="N7" s="69"/>
      <c r="O7" s="69"/>
    </row>
    <row r="8" spans="1:15">
      <c r="A8" s="74" t="s">
        <v>1302</v>
      </c>
      <c r="B8" s="74"/>
      <c r="C8" s="81"/>
      <c r="D8" s="81" t="s">
        <v>1455</v>
      </c>
      <c r="E8" s="82"/>
      <c r="F8" s="76" t="s">
        <v>1456</v>
      </c>
      <c r="G8" s="76" t="s">
        <v>156</v>
      </c>
      <c r="H8" s="69" t="s">
        <v>246</v>
      </c>
      <c r="I8" s="76" t="s">
        <v>1267</v>
      </c>
      <c r="J8" s="76"/>
      <c r="K8" s="82" t="s">
        <v>1457</v>
      </c>
      <c r="L8" s="83" t="s">
        <v>736</v>
      </c>
      <c r="M8" s="84" t="s">
        <v>1458</v>
      </c>
      <c r="N8" s="69"/>
      <c r="O8" s="69" t="str">
        <f>"COMMENT ON COLUMN PG_GOLD."&amp;G8&amp;"."&amp;H8&amp;" IS '"&amp;K8&amp;"';"</f>
        <v>COMMENT ON COLUMN PG_GOLD.INTF_LOAN_REPYMT_SHD.CDR_DT IS 'Ngày snapshot ';</v>
      </c>
    </row>
    <row r="9" spans="1:15">
      <c r="A9" s="74" t="s">
        <v>1302</v>
      </c>
      <c r="B9" s="75" t="s">
        <v>161</v>
      </c>
      <c r="C9" s="85" t="s">
        <v>1285</v>
      </c>
      <c r="D9" s="81" t="s">
        <v>1128</v>
      </c>
      <c r="E9" s="82" t="s">
        <v>1459</v>
      </c>
      <c r="F9" s="76" t="s">
        <v>1456</v>
      </c>
      <c r="G9" s="76" t="s">
        <v>156</v>
      </c>
      <c r="H9" s="76" t="s">
        <v>1285</v>
      </c>
      <c r="I9" s="76" t="s">
        <v>1232</v>
      </c>
      <c r="J9" s="76">
        <v>32</v>
      </c>
      <c r="K9" s="82" t="s">
        <v>1460</v>
      </c>
      <c r="L9" s="83" t="s">
        <v>736</v>
      </c>
      <c r="M9" s="84" t="s">
        <v>1461</v>
      </c>
      <c r="N9" s="69"/>
      <c r="O9" s="69" t="str">
        <f>"COMMENT ON COLUMN PG_GOLD."&amp;G9&amp;"."&amp;H9&amp;" IS '"&amp;K9&amp;"';"</f>
        <v>COMMENT ON COLUMN PG_GOLD.INTF_LOAN_REPYMT_SHD.CST_ID IS 'Mã số định danh duy nhất của khách hàng trên dwh';</v>
      </c>
    </row>
    <row r="10" spans="1:15">
      <c r="A10" s="74" t="s">
        <v>1302</v>
      </c>
      <c r="B10" s="75" t="s">
        <v>161</v>
      </c>
      <c r="C10" s="85" t="s">
        <v>253</v>
      </c>
      <c r="D10" s="81" t="s">
        <v>1128</v>
      </c>
      <c r="E10" s="82" t="s">
        <v>847</v>
      </c>
      <c r="F10" s="76" t="s">
        <v>1456</v>
      </c>
      <c r="G10" s="76" t="s">
        <v>156</v>
      </c>
      <c r="H10" s="76" t="s">
        <v>253</v>
      </c>
      <c r="I10" s="76" t="s">
        <v>1232</v>
      </c>
      <c r="J10" s="76">
        <v>32</v>
      </c>
      <c r="K10" s="82"/>
      <c r="L10" s="83"/>
      <c r="M10" s="84"/>
      <c r="N10" s="69"/>
      <c r="O10" s="69"/>
    </row>
    <row r="11" spans="1:15">
      <c r="A11" s="74" t="s">
        <v>1302</v>
      </c>
      <c r="B11" s="75" t="s">
        <v>161</v>
      </c>
      <c r="C11" s="76" t="s">
        <v>1235</v>
      </c>
      <c r="D11" s="81" t="s">
        <v>1128</v>
      </c>
      <c r="E11" s="82" t="s">
        <v>1234</v>
      </c>
      <c r="F11" s="76" t="s">
        <v>1456</v>
      </c>
      <c r="G11" s="76" t="s">
        <v>156</v>
      </c>
      <c r="H11" s="76" t="s">
        <v>1235</v>
      </c>
      <c r="I11" s="76" t="s">
        <v>1232</v>
      </c>
      <c r="J11" s="76">
        <v>32</v>
      </c>
      <c r="K11" s="82" t="s">
        <v>1236</v>
      </c>
      <c r="L11" s="86" t="s">
        <v>651</v>
      </c>
      <c r="M11" s="87" t="s">
        <v>1462</v>
      </c>
      <c r="N11" s="69"/>
      <c r="O11" s="69" t="str">
        <f>"COMMENT ON COLUMN PG_GOLD."&amp;G11&amp;"."&amp;H11&amp;" IS '"&amp;K11&amp;"';"</f>
        <v>COMMENT ON COLUMN PG_GOLD.INTF_LOAN_REPYMT_SHD.AR_AVY_SHD_CODE IS 'Mã số dòng lịch trên hệ thống nguồn';</v>
      </c>
    </row>
    <row r="12" spans="1:15">
      <c r="A12" s="74" t="s">
        <v>1302</v>
      </c>
      <c r="B12" s="75" t="s">
        <v>161</v>
      </c>
      <c r="C12" s="88" t="s">
        <v>1082</v>
      </c>
      <c r="D12" s="81" t="s">
        <v>1128</v>
      </c>
      <c r="E12" s="82" t="s">
        <v>1245</v>
      </c>
      <c r="F12" s="76" t="s">
        <v>1456</v>
      </c>
      <c r="G12" s="76" t="s">
        <v>156</v>
      </c>
      <c r="H12" s="88" t="s">
        <v>1082</v>
      </c>
      <c r="I12" s="76" t="s">
        <v>1232</v>
      </c>
      <c r="J12" s="76">
        <v>32</v>
      </c>
      <c r="K12" s="82" t="s">
        <v>1463</v>
      </c>
      <c r="L12" s="83" t="s">
        <v>736</v>
      </c>
      <c r="M12" s="84" t="s">
        <v>1464</v>
      </c>
      <c r="N12" s="69"/>
      <c r="O12" s="69" t="str">
        <f>"COMMENT ON COLUMN PG_GOLD."&amp;G12&amp;"."&amp;H12&amp;" IS '"&amp;K12&amp;"';"</f>
        <v>COMMENT ON COLUMN PG_GOLD.INTF_LOAN_REPYMT_SHD.AR_CODE IS 'Mã tài khoản vay';</v>
      </c>
    </row>
    <row r="13" spans="1:15">
      <c r="A13" s="74" t="s">
        <v>1302</v>
      </c>
      <c r="B13" s="79" t="s">
        <v>75</v>
      </c>
      <c r="C13" s="79" t="s">
        <v>1358</v>
      </c>
      <c r="D13" s="81" t="s">
        <v>1128</v>
      </c>
      <c r="E13" s="89" t="s">
        <v>750</v>
      </c>
      <c r="F13" s="76" t="s">
        <v>1456</v>
      </c>
      <c r="G13" s="76" t="s">
        <v>156</v>
      </c>
      <c r="H13" s="76" t="s">
        <v>1358</v>
      </c>
      <c r="I13" s="76" t="s">
        <v>1232</v>
      </c>
      <c r="J13" s="76">
        <v>32</v>
      </c>
      <c r="K13" s="90" t="s">
        <v>1465</v>
      </c>
      <c r="L13" s="93" t="s">
        <v>736</v>
      </c>
      <c r="M13" s="91" t="s">
        <v>749</v>
      </c>
      <c r="N13" s="69"/>
      <c r="O13" s="69" t="str">
        <f>"COMMENT ON COLUMN PG_GOLD."&amp;G13&amp;"."&amp;H13&amp;" IS '"&amp;K13&amp;"';"</f>
        <v>COMMENT ON COLUMN PG_GOLD.INTF_LOAN_REPYMT_SHD.OU_CODE IS 'Chi nhánh hạch toán ';</v>
      </c>
    </row>
    <row r="14" spans="1:15">
      <c r="A14" s="74" t="s">
        <v>1302</v>
      </c>
      <c r="B14" s="75" t="s">
        <v>161</v>
      </c>
      <c r="C14" s="76" t="s">
        <v>1266</v>
      </c>
      <c r="D14" s="81" t="s">
        <v>1128</v>
      </c>
      <c r="E14" s="82" t="s">
        <v>1265</v>
      </c>
      <c r="F14" s="76" t="s">
        <v>1456</v>
      </c>
      <c r="G14" s="76" t="s">
        <v>156</v>
      </c>
      <c r="H14" s="76" t="s">
        <v>1266</v>
      </c>
      <c r="I14" s="76" t="s">
        <v>1267</v>
      </c>
      <c r="J14" s="76"/>
      <c r="K14" s="92" t="s">
        <v>1466</v>
      </c>
      <c r="L14" s="93" t="s">
        <v>736</v>
      </c>
      <c r="M14" s="91" t="s">
        <v>1467</v>
      </c>
      <c r="N14" s="69"/>
      <c r="O14" s="69" t="str">
        <f>"COMMENT ON COLUMN PG_GOLD."&amp;G14&amp;"."&amp;H14&amp;" IS '"&amp;K14&amp;"';"</f>
        <v>COMMENT ON COLUMN PG_GOLD.INTF_LOAN_REPYMT_SHD.EFF_MAT_DT IS 'Ngày đáo hạn thực tế';</v>
      </c>
    </row>
    <row r="15" spans="1:15">
      <c r="A15" s="74" t="s">
        <v>1302</v>
      </c>
      <c r="B15" s="75" t="s">
        <v>161</v>
      </c>
      <c r="C15" s="76" t="s">
        <v>281</v>
      </c>
      <c r="D15" s="81" t="s">
        <v>1128</v>
      </c>
      <c r="E15" s="89" t="s">
        <v>752</v>
      </c>
      <c r="F15" s="76" t="s">
        <v>1456</v>
      </c>
      <c r="G15" s="76" t="s">
        <v>156</v>
      </c>
      <c r="H15" s="76" t="s">
        <v>281</v>
      </c>
      <c r="I15" s="76" t="s">
        <v>1232</v>
      </c>
      <c r="J15" s="76">
        <v>20</v>
      </c>
      <c r="K15" s="90" t="s">
        <v>936</v>
      </c>
      <c r="L15" s="93" t="s">
        <v>736</v>
      </c>
      <c r="M15" s="91" t="s">
        <v>936</v>
      </c>
      <c r="N15" s="69"/>
      <c r="O15" s="69" t="str">
        <f>"COMMENT ON COLUMN PG_GOLD."&amp;G15&amp;"."&amp;H15&amp;" IS '"&amp;K15&amp;"';"</f>
        <v>COMMENT ON COLUMN PG_GOLD.INTF_LOAN_REPYMT_SHD.CCY_CODE IS 'Mã loại tiền';</v>
      </c>
    </row>
    <row r="16" spans="1:15">
      <c r="A16" s="74" t="s">
        <v>1302</v>
      </c>
      <c r="B16" s="76" t="s">
        <v>161</v>
      </c>
      <c r="C16" s="94" t="s">
        <v>1251</v>
      </c>
      <c r="D16" s="95" t="s">
        <v>1128</v>
      </c>
      <c r="E16" s="82" t="s">
        <v>1468</v>
      </c>
      <c r="F16" s="76" t="s">
        <v>1456</v>
      </c>
      <c r="G16" s="76" t="s">
        <v>156</v>
      </c>
      <c r="H16" s="94" t="s">
        <v>1251</v>
      </c>
      <c r="I16" s="76" t="s">
        <v>1232</v>
      </c>
      <c r="J16" s="76">
        <v>20</v>
      </c>
      <c r="K16" s="96" t="s">
        <v>1252</v>
      </c>
      <c r="L16" s="97" t="s">
        <v>736</v>
      </c>
      <c r="M16" s="98" t="s">
        <v>1469</v>
      </c>
      <c r="N16" s="69"/>
      <c r="O16" s="69" t="str">
        <f>"COMMENT ON COLUMN PG_GOLD."&amp;G16&amp;"."&amp;H16&amp;" IS '"&amp;K16&amp;"';"</f>
        <v>COMMENT ON COLUMN PG_GOLD.INTF_LOAN_REPYMT_SHD.PBL_AMT_TP IS 'Phân loại tiền cần thanh toán trong kỳ bill tương ứng (PS/PE/LD,..)';</v>
      </c>
    </row>
    <row r="17" spans="1:15">
      <c r="A17" s="74" t="s">
        <v>1302</v>
      </c>
      <c r="B17" s="76" t="s">
        <v>161</v>
      </c>
      <c r="C17" s="76" t="s">
        <v>1255</v>
      </c>
      <c r="D17" s="95" t="s">
        <v>1128</v>
      </c>
      <c r="E17" s="82" t="s">
        <v>1254</v>
      </c>
      <c r="F17" s="76" t="s">
        <v>1456</v>
      </c>
      <c r="G17" s="76" t="s">
        <v>156</v>
      </c>
      <c r="H17" s="95" t="s">
        <v>1255</v>
      </c>
      <c r="I17" s="76" t="s">
        <v>1106</v>
      </c>
      <c r="J17" s="76">
        <v>25.5</v>
      </c>
      <c r="K17" s="99" t="s">
        <v>1256</v>
      </c>
      <c r="L17" s="93" t="s">
        <v>736</v>
      </c>
      <c r="M17" s="91" t="s">
        <v>1470</v>
      </c>
      <c r="N17" s="69"/>
      <c r="O17" s="69" t="str">
        <f>"COMMENT ON COLUMN PG_GOLD."&amp;G17&amp;"."&amp;H17&amp;" IS '"&amp;K17&amp;"';"</f>
        <v>COMMENT ON COLUMN PG_GOLD.INTF_LOAN_REPYMT_SHD.PBL_AMT_LCY IS 'Số tiền cần thanh toán quy đổi trong kỳ bill tương ứng';</v>
      </c>
    </row>
    <row r="18" spans="1:15">
      <c r="A18" s="74" t="s">
        <v>1302</v>
      </c>
      <c r="B18" s="76" t="s">
        <v>161</v>
      </c>
      <c r="C18" s="76" t="s">
        <v>1259</v>
      </c>
      <c r="D18" s="95" t="s">
        <v>1128</v>
      </c>
      <c r="E18" s="82" t="s">
        <v>1258</v>
      </c>
      <c r="F18" s="76" t="s">
        <v>1456</v>
      </c>
      <c r="G18" s="76" t="s">
        <v>156</v>
      </c>
      <c r="H18" s="95" t="s">
        <v>1259</v>
      </c>
      <c r="I18" s="76" t="s">
        <v>1106</v>
      </c>
      <c r="J18" s="76">
        <v>25.5</v>
      </c>
      <c r="K18" s="99" t="s">
        <v>1260</v>
      </c>
      <c r="L18" s="93" t="s">
        <v>736</v>
      </c>
      <c r="M18" s="91" t="s">
        <v>1471</v>
      </c>
      <c r="N18" s="69"/>
      <c r="O18" s="69" t="str">
        <f>"COMMENT ON COLUMN PG_GOLD."&amp;G18&amp;"."&amp;H18&amp;" IS '"&amp;K18&amp;"';"</f>
        <v>COMMENT ON COLUMN PG_GOLD.INTF_LOAN_REPYMT_SHD.PBL_AMT_FCY IS 'Số tiền cần thanh toán nguyên tệ trong kỳ bill tương ứng';</v>
      </c>
    </row>
    <row r="19" spans="1:15">
      <c r="A19" s="74" t="s">
        <v>1302</v>
      </c>
      <c r="B19" s="76" t="s">
        <v>161</v>
      </c>
      <c r="C19" s="76" t="s">
        <v>179</v>
      </c>
      <c r="D19" s="95" t="s">
        <v>1128</v>
      </c>
      <c r="E19" s="82" t="s">
        <v>178</v>
      </c>
      <c r="F19" s="76" t="s">
        <v>1456</v>
      </c>
      <c r="G19" s="76" t="s">
        <v>156</v>
      </c>
      <c r="H19" s="76" t="s">
        <v>179</v>
      </c>
      <c r="I19" s="76" t="s">
        <v>1106</v>
      </c>
      <c r="J19" s="76">
        <v>25.5</v>
      </c>
      <c r="K19" s="90" t="s">
        <v>1263</v>
      </c>
      <c r="L19" s="93" t="s">
        <v>736</v>
      </c>
      <c r="M19" s="91" t="s">
        <v>1263</v>
      </c>
      <c r="N19" s="69"/>
      <c r="O19" s="69" t="str">
        <f>"COMMENT ON COLUMN PG_GOLD."&amp;G19&amp;"."&amp;H19&amp;" IS '"&amp;K19&amp;"';"</f>
        <v>COMMENT ON COLUMN PG_GOLD.INTF_LOAN_REPYMT_SHD.EXG_RATE IS 'Tỷ giá thực hiện';</v>
      </c>
    </row>
    <row r="20" spans="1:15">
      <c r="A20" s="74"/>
      <c r="B20" s="75"/>
      <c r="C20" s="95"/>
      <c r="D20" s="100" t="s">
        <v>1472</v>
      </c>
      <c r="E20" s="82" t="s">
        <v>1473</v>
      </c>
      <c r="F20" s="76" t="s">
        <v>1456</v>
      </c>
      <c r="G20" s="76" t="s">
        <v>156</v>
      </c>
      <c r="H20" s="76" t="s">
        <v>1474</v>
      </c>
      <c r="I20" s="76" t="s">
        <v>1475</v>
      </c>
      <c r="J20" s="76">
        <v>10</v>
      </c>
      <c r="K20" s="99" t="s">
        <v>1476</v>
      </c>
      <c r="L20" s="93" t="s">
        <v>736</v>
      </c>
      <c r="M20" s="101" t="s">
        <v>1476</v>
      </c>
      <c r="N20" s="69"/>
      <c r="O20" s="69" t="str">
        <f>"COMMENT ON COLUMN PG_GOLD."&amp;G20&amp;"."&amp;H20&amp;" IS '"&amp;K20&amp;"';"</f>
        <v>COMMENT ON COLUMN PG_GOLD.INTF_LOAN_REPYMT_SHD.LND_REPYMT_TP IS 'Phân loại bút toán ( PAID/DUE)';</v>
      </c>
    </row>
    <row r="21" spans="1:15">
      <c r="A21" s="74" t="s">
        <v>1302</v>
      </c>
      <c r="B21" s="75" t="s">
        <v>161</v>
      </c>
      <c r="C21" s="88" t="s">
        <v>1477</v>
      </c>
      <c r="D21" s="95" t="s">
        <v>1128</v>
      </c>
      <c r="E21" s="76" t="s">
        <v>1272</v>
      </c>
      <c r="F21" s="76" t="s">
        <v>1456</v>
      </c>
      <c r="G21" s="76" t="s">
        <v>156</v>
      </c>
      <c r="H21" s="88" t="s">
        <v>1477</v>
      </c>
      <c r="I21" s="76" t="s">
        <v>1274</v>
      </c>
      <c r="J21" s="73" t="s">
        <v>1275</v>
      </c>
      <c r="K21" s="99" t="s">
        <v>1276</v>
      </c>
      <c r="L21" s="93" t="s">
        <v>736</v>
      </c>
      <c r="M21" s="91" t="s">
        <v>1478</v>
      </c>
      <c r="N21" s="69"/>
      <c r="O21" s="69" t="str">
        <f>"COMMENT ON COLUMN PG_GOLD."&amp;G21&amp;"."&amp;H21&amp;" IS '"&amp;K21&amp;"';"</f>
        <v>COMMENT ON COLUMN PG_GOLD.INTF_LOAN_REPYMT_SHD.F_LAST_OD_DT IS 'Cờ hợp đồng có đang tồn tại kỳ trả nợ quá hạn gần nhất hay không';</v>
      </c>
    </row>
    <row r="22" spans="1:15">
      <c r="A22" s="74" t="s">
        <v>1302</v>
      </c>
      <c r="B22" s="75" t="s">
        <v>161</v>
      </c>
      <c r="C22" s="88" t="s">
        <v>1479</v>
      </c>
      <c r="D22" s="95" t="s">
        <v>1128</v>
      </c>
      <c r="E22" s="76" t="s">
        <v>1278</v>
      </c>
      <c r="F22" s="76" t="s">
        <v>1456</v>
      </c>
      <c r="G22" s="76" t="s">
        <v>156</v>
      </c>
      <c r="H22" s="88" t="s">
        <v>1479</v>
      </c>
      <c r="I22" s="76" t="s">
        <v>1267</v>
      </c>
      <c r="J22" s="76"/>
      <c r="K22" s="99" t="s">
        <v>1280</v>
      </c>
      <c r="L22" s="93" t="s">
        <v>736</v>
      </c>
      <c r="M22" s="101" t="s">
        <v>1280</v>
      </c>
      <c r="N22" s="69"/>
      <c r="O22" s="69" t="str">
        <f>"COMMENT ON COLUMN PG_GOLD."&amp;G22&amp;"."&amp;H22&amp;" IS '"&amp;K22&amp;"';"</f>
        <v>COMMENT ON COLUMN PG_GOLD.INTF_LOAN_REPYMT_SHD.LAST_OD_DT IS 'Ngày đến hạn của kỳ trả nợ gần nhất đã chuyển sang quá hạn';</v>
      </c>
    </row>
    <row r="23" spans="1:15">
      <c r="A23" s="74" t="s">
        <v>1302</v>
      </c>
      <c r="B23" s="75" t="s">
        <v>70</v>
      </c>
      <c r="C23" s="102" t="s">
        <v>1480</v>
      </c>
      <c r="D23" s="95" t="s">
        <v>1128</v>
      </c>
      <c r="E23" s="69" t="s">
        <v>666</v>
      </c>
      <c r="F23" s="76" t="s">
        <v>1456</v>
      </c>
      <c r="G23" s="76" t="s">
        <v>156</v>
      </c>
      <c r="H23" s="102" t="s">
        <v>1480</v>
      </c>
      <c r="I23" s="76" t="s">
        <v>1267</v>
      </c>
      <c r="J23" s="76"/>
      <c r="K23" s="99" t="s">
        <v>1481</v>
      </c>
      <c r="L23" s="93" t="s">
        <v>736</v>
      </c>
      <c r="M23" s="101" t="s">
        <v>1481</v>
      </c>
      <c r="N23" s="69"/>
      <c r="O23" s="69" t="str">
        <f>"COMMENT ON COLUMN PG_GOLD."&amp;G23&amp;"."&amp;H23&amp;" IS '"&amp;K23&amp;"';"</f>
        <v>COMMENT ON COLUMN PG_GOLD.INTF_LOAN_REPYMT_SHD.FCC_VAL_DT IS 'Ngày tạo bút toán ( booking_date)';</v>
      </c>
    </row>
    <row r="24" spans="1:15">
      <c r="A24" s="74" t="s">
        <v>1302</v>
      </c>
      <c r="B24" s="75" t="s">
        <v>70</v>
      </c>
      <c r="C24" s="79" t="s">
        <v>1482</v>
      </c>
      <c r="D24" s="95" t="s">
        <v>1128</v>
      </c>
      <c r="E24" s="81" t="s">
        <v>897</v>
      </c>
      <c r="F24" s="76" t="s">
        <v>1456</v>
      </c>
      <c r="G24" s="76" t="s">
        <v>156</v>
      </c>
      <c r="H24" s="79" t="s">
        <v>1482</v>
      </c>
      <c r="I24" s="76" t="s">
        <v>1267</v>
      </c>
      <c r="J24" s="76"/>
      <c r="K24" s="92" t="s">
        <v>1483</v>
      </c>
      <c r="L24" s="93" t="s">
        <v>736</v>
      </c>
      <c r="M24" s="91" t="s">
        <v>1484</v>
      </c>
      <c r="N24" s="69"/>
      <c r="O24" s="69" t="str">
        <f>"COMMENT ON COLUMN PG_GOLD."&amp;G24&amp;"."&amp;H24&amp;" IS '"&amp;K24&amp;"';"</f>
        <v>COMMENT ON COLUMN PG_GOLD.INTF_LOAN_REPYMT_SHD.MAT_DT IS 'Ngày đáo hạn trên hợp đồng';</v>
      </c>
    </row>
    <row r="25" spans="1:15">
      <c r="A25" s="74" t="s">
        <v>1302</v>
      </c>
      <c r="B25" s="103" t="s">
        <v>75</v>
      </c>
      <c r="C25" s="104" t="s">
        <v>1485</v>
      </c>
      <c r="D25" s="94" t="s">
        <v>1128</v>
      </c>
      <c r="E25" s="69" t="s">
        <v>1486</v>
      </c>
      <c r="F25" s="76" t="s">
        <v>1456</v>
      </c>
      <c r="G25" s="76" t="s">
        <v>156</v>
      </c>
      <c r="H25" s="104" t="s">
        <v>1485</v>
      </c>
      <c r="I25" s="76" t="s">
        <v>1232</v>
      </c>
      <c r="J25" s="76">
        <v>20</v>
      </c>
      <c r="K25" s="81" t="s">
        <v>758</v>
      </c>
      <c r="L25" s="105" t="s">
        <v>736</v>
      </c>
      <c r="M25" s="106" t="s">
        <v>1487</v>
      </c>
      <c r="N25" s="69"/>
      <c r="O25" s="69" t="str">
        <f>"COMMENT ON COLUMN PG_GOLD."&amp;G25&amp;"."&amp;H25&amp;" IS '"&amp;K25&amp;"';"</f>
        <v>COMMENT ON COLUMN PG_GOLD.INTF_LOAN_REPYMT_SHD.GL_ITM_CODE IS 'Mã hạch toán theo SBV';</v>
      </c>
    </row>
    <row r="26" spans="1:15">
      <c r="A26" s="107" t="s">
        <v>1302</v>
      </c>
      <c r="B26" s="108" t="s">
        <v>24</v>
      </c>
      <c r="C26" s="109" t="s">
        <v>1488</v>
      </c>
      <c r="D26" s="110" t="s">
        <v>1489</v>
      </c>
      <c r="E26" s="108" t="s">
        <v>1490</v>
      </c>
      <c r="F26" s="111" t="s">
        <v>1456</v>
      </c>
      <c r="G26" s="111" t="s">
        <v>156</v>
      </c>
      <c r="H26" s="108" t="s">
        <v>1491</v>
      </c>
      <c r="I26" s="111" t="s">
        <v>1274</v>
      </c>
      <c r="J26" s="112" t="s">
        <v>1275</v>
      </c>
      <c r="K26" s="113" t="s">
        <v>1492</v>
      </c>
      <c r="L26" s="93"/>
      <c r="M26" s="91"/>
      <c r="N26" s="114"/>
      <c r="O26" s="114"/>
    </row>
    <row r="27" spans="1:15">
      <c r="A27" s="107" t="s">
        <v>1302</v>
      </c>
      <c r="B27" s="115" t="s">
        <v>24</v>
      </c>
      <c r="C27" s="110" t="s">
        <v>1493</v>
      </c>
      <c r="D27" s="110" t="s">
        <v>1128</v>
      </c>
      <c r="E27" s="116" t="s">
        <v>1494</v>
      </c>
      <c r="F27" s="111" t="s">
        <v>1456</v>
      </c>
      <c r="G27" s="111" t="s">
        <v>156</v>
      </c>
      <c r="H27" s="108" t="s">
        <v>1495</v>
      </c>
      <c r="I27" s="111" t="s">
        <v>1232</v>
      </c>
      <c r="J27" s="111">
        <v>100</v>
      </c>
      <c r="K27" s="108" t="s">
        <v>1496</v>
      </c>
      <c r="L27" s="93"/>
      <c r="M27" s="91"/>
      <c r="N27" s="114"/>
      <c r="O27" s="114"/>
    </row>
    <row r="28" spans="1:15">
      <c r="A28" s="117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105"/>
      <c r="M28" s="106"/>
      <c r="N28" s="69"/>
      <c r="O28" s="69"/>
    </row>
    <row r="29" spans="1:1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105"/>
      <c r="M29" s="106"/>
      <c r="N29" s="69"/>
      <c r="O29" s="69"/>
    </row>
    <row r="30" spans="1:15">
      <c r="A30" s="69"/>
      <c r="B30" s="80"/>
      <c r="C30" s="69"/>
      <c r="D30" s="69"/>
      <c r="E30" s="69"/>
      <c r="F30" s="69"/>
      <c r="G30" s="69"/>
      <c r="H30" s="69"/>
      <c r="I30" s="69"/>
      <c r="J30" s="69"/>
      <c r="K30" s="69"/>
      <c r="L30" s="105"/>
      <c r="M30" s="106"/>
      <c r="N30" s="69"/>
      <c r="O30" s="69"/>
    </row>
    <row r="31" spans="1:15">
      <c r="A31" s="69"/>
      <c r="B31" s="80"/>
      <c r="C31" s="69"/>
      <c r="D31" s="69"/>
      <c r="E31" s="69"/>
      <c r="F31" s="69"/>
      <c r="G31" s="69"/>
      <c r="H31" s="69"/>
      <c r="I31" s="69"/>
      <c r="J31" s="69"/>
      <c r="K31" s="69"/>
      <c r="L31" s="105"/>
      <c r="M31" s="106"/>
      <c r="N31" s="69"/>
      <c r="O31" s="69"/>
    </row>
    <row r="32" spans="1:15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118"/>
      <c r="N32" s="69"/>
      <c r="O32" s="69"/>
    </row>
    <row r="33" spans="1:1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118"/>
      <c r="N33" s="69"/>
      <c r="O33" s="69"/>
    </row>
    <row r="34" spans="1:15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118"/>
      <c r="N34" s="69"/>
      <c r="O34" s="69"/>
    </row>
    <row r="35" spans="1:1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118"/>
      <c r="N35" s="69"/>
      <c r="O35" s="69"/>
    </row>
    <row r="36" spans="1:15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118"/>
      <c r="N36" s="69"/>
      <c r="O36" s="69"/>
    </row>
    <row r="37" spans="1:15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118"/>
      <c r="N37" s="69"/>
      <c r="O37" s="69"/>
    </row>
    <row r="38" spans="1:1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118"/>
      <c r="N38" s="69"/>
      <c r="O38" s="69"/>
    </row>
    <row r="39" spans="1:15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118"/>
      <c r="N39" s="69"/>
      <c r="O39" s="69"/>
    </row>
    <row r="40" spans="1:15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118"/>
      <c r="N40" s="69"/>
      <c r="O40" s="69"/>
    </row>
    <row r="41" spans="1:15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118"/>
      <c r="N41" s="69"/>
      <c r="O41" s="69"/>
    </row>
    <row r="42" spans="1:15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118"/>
      <c r="N42" s="69"/>
      <c r="O42" s="69"/>
    </row>
    <row r="43" spans="1:15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118"/>
      <c r="N43" s="69"/>
      <c r="O43" s="69"/>
    </row>
    <row r="44" spans="1:15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118"/>
      <c r="N44" s="69"/>
      <c r="O44" s="69"/>
    </row>
    <row r="45" spans="1:1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118"/>
      <c r="N45" s="69"/>
      <c r="O45" s="69"/>
    </row>
    <row r="46" spans="1:1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118"/>
      <c r="N46" s="69"/>
      <c r="O46" s="69"/>
    </row>
    <row r="47" spans="1:15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118"/>
      <c r="N47" s="69"/>
      <c r="O47" s="69"/>
    </row>
    <row r="48" spans="1:1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118"/>
      <c r="N48" s="69"/>
      <c r="O48" s="69"/>
    </row>
    <row r="49" spans="1:1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118"/>
      <c r="N49" s="69"/>
      <c r="O49" s="69"/>
    </row>
    <row r="50" spans="1:15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118"/>
      <c r="N50" s="69"/>
      <c r="O50" s="69"/>
    </row>
    <row r="51" spans="1:1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118"/>
      <c r="N51" s="69"/>
      <c r="O51" s="69"/>
    </row>
    <row r="52" spans="1:1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118"/>
      <c r="N52" s="69"/>
      <c r="O52" s="69"/>
    </row>
    <row r="53" spans="1:15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118"/>
      <c r="N53" s="69"/>
      <c r="O53" s="69"/>
    </row>
    <row r="54" spans="1:15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118"/>
      <c r="N54" s="69"/>
      <c r="O54" s="69"/>
    </row>
    <row r="55" spans="1:1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118"/>
      <c r="N55" s="69"/>
      <c r="O55" s="69"/>
    </row>
    <row r="56" spans="1:15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118"/>
      <c r="N56" s="69"/>
      <c r="O56" s="69"/>
    </row>
    <row r="57" spans="1:15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118"/>
      <c r="N57" s="69"/>
      <c r="O57" s="69"/>
    </row>
    <row r="58" spans="1:15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118"/>
      <c r="N58" s="69"/>
      <c r="O58" s="69"/>
    </row>
    <row r="59" spans="1:15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118"/>
      <c r="N59" s="69"/>
      <c r="O59" s="69"/>
    </row>
    <row r="60" spans="1:15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118"/>
      <c r="N60" s="69"/>
      <c r="O60" s="69"/>
    </row>
    <row r="61" spans="1:15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118"/>
      <c r="N61" s="69"/>
      <c r="O61" s="69"/>
    </row>
    <row r="62" spans="1:15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118"/>
      <c r="N62" s="69"/>
      <c r="O62" s="69"/>
    </row>
    <row r="63" spans="1:15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118"/>
      <c r="N63" s="69"/>
      <c r="O63" s="69"/>
    </row>
    <row r="64" spans="1:15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118"/>
      <c r="N64" s="69"/>
      <c r="O64" s="69"/>
    </row>
    <row r="65" spans="1:1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118"/>
      <c r="N65" s="69"/>
      <c r="O65" s="69"/>
    </row>
    <row r="66" spans="1:15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118"/>
      <c r="N66" s="69"/>
      <c r="O66" s="69"/>
    </row>
    <row r="67" spans="1:15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118"/>
      <c r="N67" s="69"/>
      <c r="O67" s="69"/>
    </row>
    <row r="68" spans="1:1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118"/>
      <c r="N68" s="69"/>
      <c r="O68" s="69"/>
    </row>
    <row r="69" spans="1:15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118"/>
      <c r="N69" s="69"/>
      <c r="O69" s="69"/>
    </row>
    <row r="70" spans="1:15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118"/>
      <c r="N70" s="69"/>
      <c r="O70" s="69"/>
    </row>
    <row r="71" spans="1:15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118"/>
      <c r="N71" s="69"/>
      <c r="O71" s="69"/>
    </row>
    <row r="72" spans="1:15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118"/>
      <c r="N72" s="69"/>
      <c r="O72" s="69"/>
    </row>
    <row r="73" spans="1:15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118"/>
      <c r="N73" s="69"/>
      <c r="O73" s="69"/>
    </row>
    <row r="74" spans="1:1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118"/>
      <c r="N74" s="69"/>
      <c r="O74" s="69"/>
    </row>
    <row r="75" spans="1:1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118"/>
      <c r="N75" s="69"/>
      <c r="O75" s="69"/>
    </row>
    <row r="76" spans="1:15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118"/>
      <c r="N76" s="69"/>
      <c r="O76" s="69"/>
    </row>
    <row r="77" spans="1:15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118"/>
      <c r="N77" s="69"/>
      <c r="O77" s="69"/>
    </row>
    <row r="78" spans="1:15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118"/>
      <c r="N78" s="69"/>
      <c r="O78" s="69"/>
    </row>
    <row r="79" spans="1:15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118"/>
      <c r="N79" s="69"/>
      <c r="O79" s="69"/>
    </row>
    <row r="80" spans="1:15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118"/>
      <c r="N80" s="69"/>
      <c r="O80" s="69"/>
    </row>
    <row r="81" spans="1:1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118"/>
      <c r="N81" s="69"/>
      <c r="O81" s="69"/>
    </row>
    <row r="82" spans="1:15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118"/>
      <c r="N82" s="69"/>
      <c r="O82" s="69"/>
    </row>
    <row r="83" spans="1:15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118"/>
      <c r="N83" s="69"/>
      <c r="O83" s="69"/>
    </row>
    <row r="84" spans="1:15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118"/>
      <c r="N84" s="69"/>
      <c r="O84" s="69"/>
    </row>
    <row r="85" spans="1:1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118"/>
      <c r="N85" s="69"/>
      <c r="O85" s="69"/>
    </row>
    <row r="86" spans="1:15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118"/>
      <c r="N86" s="69"/>
      <c r="O86" s="69"/>
    </row>
    <row r="87" spans="1:15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118"/>
      <c r="N87" s="69"/>
      <c r="O87" s="69"/>
    </row>
    <row r="88" spans="1:15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118"/>
      <c r="N88" s="69"/>
      <c r="O88" s="69"/>
    </row>
    <row r="89" spans="1:15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118"/>
      <c r="N89" s="69"/>
      <c r="O89" s="69"/>
    </row>
    <row r="90" spans="1:15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118"/>
      <c r="N90" s="69"/>
      <c r="O90" s="69"/>
    </row>
    <row r="91" spans="1:15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118"/>
      <c r="N91" s="69"/>
      <c r="O91" s="69"/>
    </row>
    <row r="92" spans="1:15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118"/>
      <c r="N92" s="69"/>
      <c r="O92" s="69"/>
    </row>
    <row r="93" spans="1:15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118"/>
      <c r="N93" s="69"/>
      <c r="O93" s="69"/>
    </row>
    <row r="94" spans="1:15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118"/>
      <c r="N94" s="69"/>
      <c r="O94" s="69"/>
    </row>
    <row r="95" spans="1:1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118"/>
      <c r="N95" s="69"/>
      <c r="O95" s="69"/>
    </row>
    <row r="96" spans="1:15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118"/>
      <c r="N96" s="69"/>
      <c r="O96" s="69"/>
    </row>
    <row r="97" spans="1:15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118"/>
      <c r="N97" s="69"/>
      <c r="O97" s="69"/>
    </row>
    <row r="98" spans="1:15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118"/>
      <c r="N98" s="69"/>
      <c r="O98" s="69"/>
    </row>
    <row r="99" spans="1:15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118"/>
      <c r="N99" s="69"/>
      <c r="O99" s="69"/>
    </row>
    <row r="100" spans="1:1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118"/>
      <c r="N100" s="69"/>
      <c r="O100" s="69"/>
    </row>
    <row r="101" spans="1:1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118"/>
      <c r="N101" s="69"/>
      <c r="O101" s="69"/>
    </row>
    <row r="102" spans="1:1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118"/>
      <c r="N102" s="69"/>
      <c r="O102" s="69"/>
    </row>
    <row r="103" spans="1:1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118"/>
      <c r="N103" s="69"/>
      <c r="O103" s="69"/>
    </row>
    <row r="104" spans="1:1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118"/>
      <c r="N104" s="69"/>
      <c r="O104" s="69"/>
    </row>
    <row r="105" spans="1:1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118"/>
      <c r="N105" s="69"/>
      <c r="O105" s="69"/>
    </row>
    <row r="106" spans="1:1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118"/>
      <c r="N106" s="69"/>
      <c r="O106" s="69"/>
    </row>
    <row r="107" spans="1:1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118"/>
      <c r="N107" s="69"/>
      <c r="O107" s="69"/>
    </row>
    <row r="108" spans="1:1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118"/>
      <c r="N108" s="69"/>
      <c r="O108" s="69"/>
    </row>
    <row r="109" spans="1:1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118"/>
      <c r="N109" s="69"/>
      <c r="O109" s="69"/>
    </row>
    <row r="110" spans="1:1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118"/>
      <c r="N110" s="69"/>
      <c r="O110" s="69"/>
    </row>
    <row r="111" spans="1:1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118"/>
      <c r="N111" s="69"/>
      <c r="O111" s="69"/>
    </row>
    <row r="112" spans="1:1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118"/>
      <c r="N112" s="69"/>
      <c r="O112" s="69"/>
    </row>
    <row r="113" spans="1:1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118"/>
      <c r="N113" s="69"/>
      <c r="O113" s="69"/>
    </row>
    <row r="114" spans="1:1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118"/>
      <c r="N114" s="69"/>
      <c r="O114" s="69"/>
    </row>
    <row r="115" spans="1: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118"/>
      <c r="N115" s="69"/>
      <c r="O115" s="69"/>
    </row>
    <row r="116" spans="1:1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118"/>
      <c r="N116" s="69"/>
      <c r="O116" s="69"/>
    </row>
    <row r="117" spans="1:1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118"/>
      <c r="N117" s="69"/>
      <c r="O117" s="69"/>
    </row>
    <row r="118" spans="1:1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118"/>
      <c r="N118" s="69"/>
      <c r="O118" s="69"/>
    </row>
    <row r="119" spans="1:1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118"/>
      <c r="N119" s="69"/>
      <c r="O119" s="69"/>
    </row>
    <row r="120" spans="1:1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118"/>
      <c r="N120" s="69"/>
      <c r="O120" s="69"/>
    </row>
    <row r="121" spans="1:1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118"/>
      <c r="N121" s="69"/>
      <c r="O121" s="69"/>
    </row>
    <row r="122" spans="1:1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118"/>
      <c r="N122" s="69"/>
      <c r="O122" s="69"/>
    </row>
    <row r="123" spans="1:1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118"/>
      <c r="N123" s="69"/>
      <c r="O123" s="69"/>
    </row>
    <row r="124" spans="1:1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118"/>
      <c r="N124" s="69"/>
      <c r="O124" s="69"/>
    </row>
    <row r="125" spans="1:1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118"/>
      <c r="N125" s="69"/>
      <c r="O125" s="69"/>
    </row>
    <row r="126" spans="1:1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118"/>
      <c r="N126" s="69"/>
      <c r="O126" s="69"/>
    </row>
    <row r="127" spans="1:1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118"/>
      <c r="N127" s="69"/>
      <c r="O127" s="69"/>
    </row>
    <row r="128" spans="1:1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118"/>
      <c r="N128" s="69"/>
      <c r="O128" s="69"/>
    </row>
    <row r="129" spans="1:1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118"/>
      <c r="N129" s="69"/>
      <c r="O129" s="69"/>
    </row>
    <row r="130" spans="1:1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118"/>
      <c r="N130" s="69"/>
      <c r="O130" s="69"/>
    </row>
    <row r="131" spans="1:1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118"/>
      <c r="N131" s="69"/>
      <c r="O131" s="69"/>
    </row>
    <row r="132" spans="1:1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118"/>
      <c r="N132" s="69"/>
      <c r="O132" s="69"/>
    </row>
    <row r="133" spans="1:1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118"/>
      <c r="N133" s="69"/>
      <c r="O133" s="69"/>
    </row>
    <row r="134" spans="1:1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118"/>
      <c r="N134" s="69"/>
      <c r="O134" s="69"/>
    </row>
    <row r="135" spans="1:1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118"/>
      <c r="N135" s="69"/>
      <c r="O135" s="69"/>
    </row>
    <row r="136" spans="1:1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118"/>
      <c r="N136" s="69"/>
      <c r="O136" s="69"/>
    </row>
    <row r="137" spans="1:1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118"/>
      <c r="N137" s="69"/>
      <c r="O137" s="69"/>
    </row>
    <row r="138" spans="1:1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118"/>
      <c r="N138" s="69"/>
      <c r="O138" s="69"/>
    </row>
    <row r="139" spans="1:1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118"/>
      <c r="N139" s="69"/>
      <c r="O139" s="69"/>
    </row>
    <row r="140" spans="1:1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118"/>
      <c r="N140" s="69"/>
      <c r="O140" s="69"/>
    </row>
    <row r="141" spans="1:1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118"/>
      <c r="N141" s="69"/>
      <c r="O141" s="69"/>
    </row>
    <row r="142" spans="1:1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118"/>
      <c r="N142" s="69"/>
      <c r="O142" s="69"/>
    </row>
    <row r="143" spans="1:1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118"/>
      <c r="N143" s="69"/>
      <c r="O143" s="69"/>
    </row>
    <row r="144" spans="1:1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118"/>
      <c r="N144" s="69"/>
      <c r="O144" s="69"/>
    </row>
    <row r="145" spans="1:1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118"/>
      <c r="N145" s="69"/>
      <c r="O145" s="69"/>
    </row>
    <row r="146" spans="1:1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118"/>
      <c r="N146" s="69"/>
      <c r="O146" s="69"/>
    </row>
    <row r="147" spans="1:1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118"/>
      <c r="N147" s="69"/>
      <c r="O147" s="69"/>
    </row>
    <row r="148" spans="1:1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118"/>
      <c r="N148" s="69"/>
      <c r="O148" s="69"/>
    </row>
    <row r="149" spans="1:1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118"/>
      <c r="N149" s="69"/>
      <c r="O149" s="69"/>
    </row>
    <row r="150" spans="1:1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118"/>
      <c r="N150" s="69"/>
      <c r="O150" s="69"/>
    </row>
    <row r="151" spans="1:1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118"/>
      <c r="N151" s="69"/>
      <c r="O151" s="69"/>
    </row>
    <row r="152" spans="1:1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118"/>
      <c r="N152" s="69"/>
      <c r="O152" s="69"/>
    </row>
    <row r="153" spans="1:1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118"/>
      <c r="N153" s="69"/>
      <c r="O153" s="69"/>
    </row>
    <row r="154" spans="1:1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118"/>
      <c r="N154" s="69"/>
      <c r="O154" s="69"/>
    </row>
    <row r="155" spans="1:1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118"/>
      <c r="N155" s="69"/>
      <c r="O155" s="69"/>
    </row>
    <row r="156" spans="1:1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118"/>
      <c r="N156" s="69"/>
      <c r="O156" s="69"/>
    </row>
    <row r="157" spans="1:1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118"/>
      <c r="N157" s="69"/>
      <c r="O157" s="69"/>
    </row>
    <row r="158" spans="1:1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118"/>
      <c r="N158" s="69"/>
      <c r="O158" s="69"/>
    </row>
    <row r="159" spans="1:1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118"/>
      <c r="N159" s="69"/>
      <c r="O159" s="69"/>
    </row>
    <row r="160" spans="1:1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118"/>
      <c r="N160" s="69"/>
      <c r="O160" s="69"/>
    </row>
    <row r="161" spans="1:1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118"/>
      <c r="N161" s="69"/>
      <c r="O161" s="69"/>
    </row>
    <row r="162" spans="1:1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118"/>
      <c r="N162" s="69"/>
      <c r="O162" s="69"/>
    </row>
    <row r="163" spans="1:1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118"/>
      <c r="N163" s="69"/>
      <c r="O163" s="69"/>
    </row>
    <row r="164" spans="1:1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118"/>
      <c r="N164" s="69"/>
      <c r="O164" s="69"/>
    </row>
    <row r="165" spans="1:1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118"/>
      <c r="N165" s="69"/>
      <c r="O165" s="69"/>
    </row>
    <row r="166" spans="1:1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118"/>
      <c r="N166" s="69"/>
      <c r="O166" s="69"/>
    </row>
    <row r="167" spans="1:1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118"/>
      <c r="N167" s="69"/>
      <c r="O167" s="69"/>
    </row>
    <row r="168" spans="1:1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118"/>
      <c r="N168" s="69"/>
      <c r="O168" s="69"/>
    </row>
    <row r="169" spans="1:1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118"/>
      <c r="N169" s="69"/>
      <c r="O169" s="69"/>
    </row>
    <row r="170" spans="1:1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118"/>
      <c r="N170" s="69"/>
      <c r="O170" s="69"/>
    </row>
    <row r="171" spans="1:1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118"/>
      <c r="N171" s="69"/>
      <c r="O171" s="69"/>
    </row>
    <row r="172" spans="1:1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118"/>
      <c r="N172" s="69"/>
      <c r="O172" s="69"/>
    </row>
    <row r="173" spans="1:1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118"/>
      <c r="N173" s="69"/>
      <c r="O173" s="69"/>
    </row>
    <row r="174" spans="1:1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118"/>
      <c r="N174" s="69"/>
      <c r="O174" s="69"/>
    </row>
    <row r="175" spans="1:1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118"/>
      <c r="N175" s="69"/>
      <c r="O175" s="69"/>
    </row>
    <row r="176" spans="1:1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118"/>
      <c r="N176" s="69"/>
      <c r="O176" s="69"/>
    </row>
    <row r="177" spans="1:1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118"/>
      <c r="N177" s="69"/>
      <c r="O177" s="69"/>
    </row>
    <row r="178" spans="1:1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118"/>
      <c r="N178" s="69"/>
      <c r="O178" s="69"/>
    </row>
    <row r="179" spans="1:1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118"/>
      <c r="N179" s="69"/>
      <c r="O179" s="69"/>
    </row>
    <row r="180" spans="1:1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118"/>
      <c r="N180" s="69"/>
      <c r="O180" s="69"/>
    </row>
    <row r="181" spans="1:1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118"/>
      <c r="N181" s="69"/>
      <c r="O181" s="69"/>
    </row>
    <row r="182" spans="1:1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118"/>
      <c r="N182" s="69"/>
      <c r="O182" s="69"/>
    </row>
    <row r="183" spans="1:1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118"/>
      <c r="N183" s="69"/>
      <c r="O183" s="69"/>
    </row>
    <row r="184" spans="1:1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118"/>
      <c r="N184" s="69"/>
      <c r="O184" s="69"/>
    </row>
    <row r="185" spans="1:1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118"/>
      <c r="N185" s="69"/>
      <c r="O185" s="69"/>
    </row>
    <row r="186" spans="1:1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118"/>
      <c r="N186" s="69"/>
      <c r="O186" s="69"/>
    </row>
    <row r="187" spans="1:1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118"/>
      <c r="N187" s="69"/>
      <c r="O187" s="69"/>
    </row>
    <row r="188" spans="1:1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118"/>
      <c r="N188" s="69"/>
      <c r="O188" s="69"/>
    </row>
    <row r="189" spans="1:1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118"/>
      <c r="N189" s="69"/>
      <c r="O189" s="69"/>
    </row>
    <row r="190" spans="1:1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118"/>
      <c r="N190" s="69"/>
      <c r="O190" s="69"/>
    </row>
    <row r="191" spans="1:1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118"/>
      <c r="N191" s="69"/>
      <c r="O191" s="69"/>
    </row>
    <row r="192" spans="1:1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118"/>
      <c r="N192" s="69"/>
      <c r="O192" s="69"/>
    </row>
    <row r="193" spans="1:1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118"/>
      <c r="N193" s="69"/>
      <c r="O193" s="69"/>
    </row>
    <row r="194" spans="1:1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118"/>
      <c r="N194" s="69"/>
      <c r="O194" s="69"/>
    </row>
    <row r="195" spans="1:1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118"/>
      <c r="N195" s="69"/>
      <c r="O195" s="69"/>
    </row>
    <row r="196" spans="1:1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118"/>
      <c r="N196" s="69"/>
      <c r="O196" s="69"/>
    </row>
    <row r="197" spans="1:1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118"/>
      <c r="N197" s="69"/>
      <c r="O197" s="69"/>
    </row>
    <row r="198" spans="1:1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118"/>
      <c r="N198" s="69"/>
      <c r="O198" s="69"/>
    </row>
    <row r="199" spans="1:1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118"/>
      <c r="N199" s="69"/>
      <c r="O199" s="69"/>
    </row>
    <row r="200" spans="1:1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118"/>
      <c r="N200" s="69"/>
      <c r="O200" s="69"/>
    </row>
    <row r="201" spans="1:1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118"/>
      <c r="N201" s="69"/>
      <c r="O201" s="69"/>
    </row>
    <row r="202" spans="1:1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118"/>
      <c r="N202" s="69"/>
      <c r="O202" s="69"/>
    </row>
    <row r="203" spans="1:1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118"/>
      <c r="N203" s="69"/>
      <c r="O203" s="69"/>
    </row>
    <row r="204" spans="1:1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118"/>
      <c r="N204" s="69"/>
      <c r="O204" s="69"/>
    </row>
    <row r="205" spans="1:1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118"/>
      <c r="N205" s="69"/>
      <c r="O205" s="69"/>
    </row>
    <row r="206" spans="1:1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118"/>
      <c r="N206" s="69"/>
      <c r="O206" s="69"/>
    </row>
    <row r="207" spans="1:1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118"/>
      <c r="N207" s="69"/>
      <c r="O207" s="69"/>
    </row>
    <row r="208" spans="1:1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118"/>
      <c r="N208" s="69"/>
      <c r="O208" s="69"/>
    </row>
    <row r="209" spans="1:1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118"/>
      <c r="N209" s="69"/>
      <c r="O209" s="69"/>
    </row>
    <row r="210" spans="1:1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118"/>
      <c r="N210" s="69"/>
      <c r="O210" s="69"/>
    </row>
    <row r="211" spans="1:1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118"/>
      <c r="N211" s="69"/>
      <c r="O211" s="69"/>
    </row>
    <row r="212" spans="1:1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118"/>
      <c r="N212" s="69"/>
      <c r="O212" s="69"/>
    </row>
    <row r="213" spans="1:1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118"/>
      <c r="N213" s="69"/>
      <c r="O213" s="69"/>
    </row>
    <row r="214" spans="1:1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118"/>
      <c r="N214" s="69"/>
      <c r="O214" s="69"/>
    </row>
    <row r="215" spans="1: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118"/>
      <c r="N215" s="69"/>
      <c r="O215" s="69"/>
    </row>
    <row r="216" spans="1:1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118"/>
      <c r="N216" s="69"/>
      <c r="O216" s="69"/>
    </row>
    <row r="217" spans="1:1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118"/>
      <c r="N217" s="69"/>
      <c r="O217" s="69"/>
    </row>
    <row r="218" spans="1:1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118"/>
      <c r="N218" s="69"/>
      <c r="O218" s="69"/>
    </row>
    <row r="219" spans="1:1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118"/>
      <c r="N219" s="69"/>
      <c r="O219" s="69"/>
    </row>
    <row r="220" spans="1:1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118"/>
      <c r="N220" s="69"/>
      <c r="O220" s="69"/>
    </row>
    <row r="221" spans="1:1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118"/>
      <c r="N221" s="69"/>
      <c r="O221" s="69"/>
    </row>
    <row r="222" spans="1:1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118"/>
      <c r="N222" s="69"/>
      <c r="O222" s="69"/>
    </row>
    <row r="223" spans="1:1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118"/>
      <c r="N223" s="69"/>
      <c r="O223" s="69"/>
    </row>
    <row r="224" spans="1:1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118"/>
      <c r="N224" s="69"/>
      <c r="O224" s="69"/>
    </row>
    <row r="225" spans="1:1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118"/>
      <c r="N225" s="69"/>
      <c r="O225" s="69"/>
    </row>
    <row r="226" spans="1:1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118"/>
      <c r="N226" s="69"/>
      <c r="O226" s="69"/>
    </row>
    <row r="227" spans="1:1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118"/>
      <c r="N227" s="69"/>
      <c r="O227" s="69"/>
    </row>
    <row r="228" spans="1:1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118"/>
      <c r="N228" s="69"/>
      <c r="O228" s="69"/>
    </row>
    <row r="229" spans="1:1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118"/>
      <c r="N229" s="69"/>
      <c r="O229" s="69"/>
    </row>
    <row r="230" spans="1:1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118"/>
      <c r="N230" s="69"/>
      <c r="O230" s="69"/>
    </row>
    <row r="231" spans="1:1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118"/>
      <c r="N231" s="69"/>
      <c r="O231" s="69"/>
    </row>
    <row r="232" spans="1:1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118"/>
      <c r="N232" s="69"/>
      <c r="O232" s="69"/>
    </row>
    <row r="233" spans="1:1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118"/>
      <c r="N233" s="69"/>
      <c r="O233" s="69"/>
    </row>
    <row r="234" spans="1:1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118"/>
      <c r="N234" s="69"/>
      <c r="O234" s="69"/>
    </row>
    <row r="235" spans="1:1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118"/>
      <c r="N235" s="69"/>
      <c r="O235" s="69"/>
    </row>
    <row r="236" spans="1:1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118"/>
      <c r="N236" s="69"/>
      <c r="O236" s="69"/>
    </row>
    <row r="237" spans="1:1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118"/>
      <c r="N237" s="69"/>
      <c r="O237" s="69"/>
    </row>
    <row r="238" spans="1:1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118"/>
      <c r="N238" s="69"/>
      <c r="O238" s="69"/>
    </row>
    <row r="239" spans="1:1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118"/>
      <c r="N239" s="69"/>
      <c r="O239" s="69"/>
    </row>
    <row r="240" spans="1:1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118"/>
      <c r="N240" s="69"/>
      <c r="O240" s="69"/>
    </row>
    <row r="241" spans="1:1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118"/>
      <c r="N241" s="69"/>
      <c r="O241" s="69"/>
    </row>
    <row r="242" spans="1:1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118"/>
      <c r="N242" s="69"/>
      <c r="O242" s="69"/>
    </row>
    <row r="243" spans="1:1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118"/>
      <c r="N243" s="69"/>
      <c r="O243" s="69"/>
    </row>
    <row r="244" spans="1:1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118"/>
      <c r="N244" s="69"/>
      <c r="O244" s="69"/>
    </row>
    <row r="245" spans="1:1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118"/>
      <c r="N245" s="69"/>
      <c r="O245" s="69"/>
    </row>
    <row r="246" spans="1:1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118"/>
      <c r="N246" s="69"/>
      <c r="O246" s="69"/>
    </row>
    <row r="247" spans="1:1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118"/>
      <c r="N247" s="69"/>
      <c r="O247" s="69"/>
    </row>
    <row r="248" spans="1:1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118"/>
      <c r="N248" s="69"/>
      <c r="O248" s="69"/>
    </row>
    <row r="249" spans="1:1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118"/>
      <c r="N249" s="69"/>
      <c r="O249" s="69"/>
    </row>
    <row r="250" spans="1:1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118"/>
      <c r="N250" s="69"/>
      <c r="O250" s="69"/>
    </row>
    <row r="251" spans="1:1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118"/>
      <c r="N251" s="69"/>
      <c r="O251" s="69"/>
    </row>
    <row r="252" spans="1:1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118"/>
      <c r="N252" s="69"/>
      <c r="O252" s="69"/>
    </row>
    <row r="253" spans="1:1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118"/>
      <c r="N253" s="69"/>
      <c r="O253" s="69"/>
    </row>
    <row r="254" spans="1:1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118"/>
      <c r="N254" s="69"/>
      <c r="O254" s="69"/>
    </row>
    <row r="255" spans="1:1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118"/>
      <c r="N255" s="69"/>
      <c r="O255" s="69"/>
    </row>
    <row r="256" spans="1:1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118"/>
      <c r="N256" s="69"/>
      <c r="O256" s="69"/>
    </row>
    <row r="257" spans="1:1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118"/>
      <c r="N257" s="69"/>
      <c r="O257" s="69"/>
    </row>
    <row r="258" spans="1:1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118"/>
      <c r="N258" s="69"/>
      <c r="O258" s="69"/>
    </row>
    <row r="259" spans="1:1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118"/>
      <c r="N259" s="69"/>
      <c r="O259" s="69"/>
    </row>
    <row r="260" spans="1:1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118"/>
      <c r="N260" s="69"/>
      <c r="O260" s="69"/>
    </row>
    <row r="261" spans="1:1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118"/>
      <c r="N261" s="69"/>
      <c r="O261" s="69"/>
    </row>
    <row r="262" spans="1:1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118"/>
      <c r="N262" s="69"/>
      <c r="O262" s="69"/>
    </row>
    <row r="263" spans="1:1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118"/>
      <c r="N263" s="69"/>
      <c r="O263" s="69"/>
    </row>
    <row r="264" spans="1:1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118"/>
      <c r="N264" s="69"/>
      <c r="O264" s="69"/>
    </row>
    <row r="265" spans="1:1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118"/>
      <c r="N265" s="69"/>
      <c r="O265" s="69"/>
    </row>
    <row r="266" spans="1:1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118"/>
      <c r="N266" s="69"/>
      <c r="O266" s="69"/>
    </row>
    <row r="267" spans="1:1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118"/>
      <c r="N267" s="69"/>
      <c r="O267" s="69"/>
    </row>
    <row r="268" spans="1:1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118"/>
      <c r="N268" s="69"/>
      <c r="O268" s="69"/>
    </row>
    <row r="269" spans="1:1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118"/>
      <c r="N269" s="69"/>
      <c r="O269" s="69"/>
    </row>
    <row r="270" spans="1:1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118"/>
      <c r="N270" s="69"/>
      <c r="O270" s="69"/>
    </row>
    <row r="271" spans="1:1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118"/>
      <c r="N271" s="69"/>
      <c r="O271" s="69"/>
    </row>
    <row r="272" spans="1:1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118"/>
      <c r="N272" s="69"/>
      <c r="O272" s="69"/>
    </row>
    <row r="273" spans="1:1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118"/>
      <c r="N273" s="69"/>
      <c r="O273" s="69"/>
    </row>
    <row r="274" spans="1:1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118"/>
      <c r="N274" s="69"/>
      <c r="O274" s="69"/>
    </row>
    <row r="275" spans="1:1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118"/>
      <c r="N275" s="69"/>
      <c r="O275" s="69"/>
    </row>
    <row r="276" spans="1:1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118"/>
      <c r="N276" s="69"/>
      <c r="O276" s="69"/>
    </row>
    <row r="277" spans="1:1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118"/>
      <c r="N277" s="69"/>
      <c r="O277" s="69"/>
    </row>
    <row r="278" spans="1:1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118"/>
      <c r="N278" s="69"/>
      <c r="O278" s="69"/>
    </row>
    <row r="279" spans="1:1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118"/>
      <c r="N279" s="69"/>
      <c r="O279" s="69"/>
    </row>
    <row r="280" spans="1:1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118"/>
      <c r="N280" s="69"/>
      <c r="O280" s="69"/>
    </row>
    <row r="281" spans="1:1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118"/>
      <c r="N281" s="69"/>
      <c r="O281" s="69"/>
    </row>
    <row r="282" spans="1:1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118"/>
      <c r="N282" s="69"/>
      <c r="O282" s="69"/>
    </row>
    <row r="283" spans="1:1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118"/>
      <c r="N283" s="69"/>
      <c r="O283" s="69"/>
    </row>
    <row r="284" spans="1:1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118"/>
      <c r="N284" s="69"/>
      <c r="O284" s="69"/>
    </row>
    <row r="285" spans="1:1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118"/>
      <c r="N285" s="69"/>
      <c r="O285" s="69"/>
    </row>
    <row r="286" spans="1:1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118"/>
      <c r="N286" s="69"/>
      <c r="O286" s="69"/>
    </row>
    <row r="287" spans="1:1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118"/>
      <c r="N287" s="69"/>
      <c r="O287" s="69"/>
    </row>
    <row r="288" spans="1:1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118"/>
      <c r="N288" s="69"/>
      <c r="O288" s="69"/>
    </row>
    <row r="289" spans="1:1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118"/>
      <c r="N289" s="69"/>
      <c r="O289" s="69"/>
    </row>
    <row r="290" spans="1:1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118"/>
      <c r="N290" s="69"/>
      <c r="O290" s="69"/>
    </row>
    <row r="291" spans="1:1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118"/>
      <c r="N291" s="69"/>
      <c r="O291" s="69"/>
    </row>
    <row r="292" spans="1:1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118"/>
      <c r="N292" s="69"/>
      <c r="O292" s="69"/>
    </row>
    <row r="293" spans="1:1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118"/>
      <c r="N293" s="69"/>
      <c r="O293" s="69"/>
    </row>
    <row r="294" spans="1:1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118"/>
      <c r="N294" s="69"/>
      <c r="O294" s="69"/>
    </row>
    <row r="295" spans="1:1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118"/>
      <c r="N295" s="69"/>
      <c r="O295" s="69"/>
    </row>
    <row r="296" spans="1:1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118"/>
      <c r="N296" s="69"/>
      <c r="O296" s="69"/>
    </row>
    <row r="297" spans="1:1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118"/>
      <c r="N297" s="69"/>
      <c r="O297" s="69"/>
    </row>
    <row r="298" spans="1:1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118"/>
      <c r="N298" s="69"/>
      <c r="O298" s="69"/>
    </row>
    <row r="299" spans="1:1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118"/>
      <c r="N299" s="69"/>
      <c r="O299" s="69"/>
    </row>
    <row r="300" spans="1:1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118"/>
      <c r="N300" s="69"/>
      <c r="O300" s="69"/>
    </row>
    <row r="301" spans="1:1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118"/>
      <c r="N301" s="69"/>
      <c r="O301" s="69"/>
    </row>
    <row r="302" spans="1:1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118"/>
      <c r="N302" s="69"/>
      <c r="O302" s="69"/>
    </row>
    <row r="303" spans="1:1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118"/>
      <c r="N303" s="69"/>
      <c r="O303" s="69"/>
    </row>
    <row r="304" spans="1:1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118"/>
      <c r="N304" s="69"/>
      <c r="O304" s="69"/>
    </row>
    <row r="305" spans="1:1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118"/>
      <c r="N305" s="69"/>
      <c r="O305" s="69"/>
    </row>
    <row r="306" spans="1:1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118"/>
      <c r="N306" s="69"/>
      <c r="O306" s="69"/>
    </row>
    <row r="307" spans="1:1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118"/>
      <c r="N307" s="69"/>
      <c r="O307" s="69"/>
    </row>
    <row r="308" spans="1:1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118"/>
      <c r="N308" s="69"/>
      <c r="O308" s="69"/>
    </row>
    <row r="309" spans="1:1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118"/>
      <c r="N309" s="69"/>
      <c r="O309" s="69"/>
    </row>
    <row r="310" spans="1:1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118"/>
      <c r="N310" s="69"/>
      <c r="O310" s="69"/>
    </row>
    <row r="311" spans="1:1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118"/>
      <c r="N311" s="69"/>
      <c r="O311" s="69"/>
    </row>
    <row r="312" spans="1:1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118"/>
      <c r="N312" s="69"/>
      <c r="O312" s="69"/>
    </row>
    <row r="313" spans="1:1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118"/>
      <c r="N313" s="69"/>
      <c r="O313" s="69"/>
    </row>
    <row r="314" spans="1:1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118"/>
      <c r="N314" s="69"/>
      <c r="O314" s="69"/>
    </row>
    <row r="315" spans="1: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118"/>
      <c r="N315" s="69"/>
      <c r="O315" s="69"/>
    </row>
    <row r="316" spans="1:1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118"/>
      <c r="N316" s="69"/>
      <c r="O316" s="69"/>
    </row>
    <row r="317" spans="1:1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118"/>
      <c r="N317" s="69"/>
      <c r="O317" s="69"/>
    </row>
    <row r="318" spans="1:1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118"/>
      <c r="N318" s="69"/>
      <c r="O318" s="69"/>
    </row>
    <row r="319" spans="1:1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118"/>
      <c r="N319" s="69"/>
      <c r="O319" s="69"/>
    </row>
    <row r="320" spans="1:1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118"/>
      <c r="N320" s="69"/>
      <c r="O320" s="69"/>
    </row>
    <row r="321" spans="1:1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118"/>
      <c r="N321" s="69"/>
      <c r="O321" s="69"/>
    </row>
    <row r="322" spans="1:1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118"/>
      <c r="N322" s="69"/>
      <c r="O322" s="69"/>
    </row>
    <row r="323" spans="1:1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118"/>
      <c r="N323" s="69"/>
      <c r="O323" s="69"/>
    </row>
    <row r="324" spans="1:1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118"/>
      <c r="N324" s="69"/>
      <c r="O324" s="69"/>
    </row>
    <row r="325" spans="1:1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118"/>
      <c r="N325" s="69"/>
      <c r="O325" s="69"/>
    </row>
    <row r="326" spans="1:1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118"/>
      <c r="N326" s="69"/>
      <c r="O326" s="69"/>
    </row>
    <row r="327" spans="1:1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118"/>
      <c r="N327" s="69"/>
      <c r="O327" s="69"/>
    </row>
    <row r="328" spans="1:1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118"/>
      <c r="N328" s="69"/>
      <c r="O328" s="69"/>
    </row>
    <row r="329" spans="1:1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118"/>
      <c r="N329" s="69"/>
      <c r="O329" s="69"/>
    </row>
    <row r="330" spans="1:1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118"/>
      <c r="N330" s="69"/>
      <c r="O330" s="69"/>
    </row>
    <row r="331" spans="1:1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118"/>
      <c r="N331" s="69"/>
      <c r="O331" s="69"/>
    </row>
    <row r="332" spans="1:1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118"/>
      <c r="N332" s="69"/>
      <c r="O332" s="69"/>
    </row>
    <row r="333" spans="1:1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118"/>
      <c r="N333" s="69"/>
      <c r="O333" s="69"/>
    </row>
    <row r="334" spans="1:1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118"/>
      <c r="N334" s="69"/>
      <c r="O334" s="69"/>
    </row>
    <row r="335" spans="1:1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118"/>
      <c r="N335" s="69"/>
      <c r="O335" s="69"/>
    </row>
    <row r="336" spans="1:1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118"/>
      <c r="N336" s="69"/>
      <c r="O336" s="69"/>
    </row>
    <row r="337" spans="1:1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118"/>
      <c r="N337" s="69"/>
      <c r="O337" s="69"/>
    </row>
    <row r="338" spans="1:1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118"/>
      <c r="N338" s="69"/>
      <c r="O338" s="69"/>
    </row>
    <row r="339" spans="1:1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118"/>
      <c r="N339" s="69"/>
      <c r="O339" s="69"/>
    </row>
    <row r="340" spans="1:1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118"/>
      <c r="N340" s="69"/>
      <c r="O340" s="69"/>
    </row>
    <row r="341" spans="1:1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118"/>
      <c r="N341" s="69"/>
      <c r="O341" s="69"/>
    </row>
    <row r="342" spans="1:1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118"/>
      <c r="N342" s="69"/>
      <c r="O342" s="69"/>
    </row>
    <row r="343" spans="1:1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118"/>
      <c r="N343" s="69"/>
      <c r="O343" s="69"/>
    </row>
    <row r="344" spans="1:1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118"/>
      <c r="N344" s="69"/>
      <c r="O344" s="69"/>
    </row>
    <row r="345" spans="1:1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118"/>
      <c r="N345" s="69"/>
      <c r="O345" s="69"/>
    </row>
    <row r="346" spans="1:1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118"/>
      <c r="N346" s="69"/>
      <c r="O346" s="69"/>
    </row>
    <row r="347" spans="1:1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118"/>
      <c r="N347" s="69"/>
      <c r="O347" s="69"/>
    </row>
    <row r="348" spans="1:1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118"/>
      <c r="N348" s="69"/>
      <c r="O348" s="69"/>
    </row>
    <row r="349" spans="1:1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118"/>
      <c r="N349" s="69"/>
      <c r="O349" s="69"/>
    </row>
    <row r="350" spans="1:1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118"/>
      <c r="N350" s="69"/>
      <c r="O350" s="69"/>
    </row>
    <row r="351" spans="1:1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118"/>
      <c r="N351" s="69"/>
      <c r="O351" s="69"/>
    </row>
    <row r="352" spans="1:1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118"/>
      <c r="N352" s="69"/>
      <c r="O352" s="69"/>
    </row>
    <row r="353" spans="1:1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118"/>
      <c r="N353" s="69"/>
      <c r="O353" s="69"/>
    </row>
    <row r="354" spans="1:1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118"/>
      <c r="N354" s="69"/>
      <c r="O354" s="69"/>
    </row>
    <row r="355" spans="1:1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118"/>
      <c r="N355" s="69"/>
      <c r="O355" s="69"/>
    </row>
    <row r="356" spans="1:1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118"/>
      <c r="N356" s="69"/>
      <c r="O356" s="69"/>
    </row>
    <row r="357" spans="1:1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118"/>
      <c r="N357" s="69"/>
      <c r="O357" s="69"/>
    </row>
    <row r="358" spans="1:1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118"/>
      <c r="N358" s="69"/>
      <c r="O358" s="69"/>
    </row>
    <row r="359" spans="1:1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118"/>
      <c r="N359" s="69"/>
      <c r="O359" s="69"/>
    </row>
    <row r="360" spans="1:1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118"/>
      <c r="N360" s="69"/>
      <c r="O360" s="69"/>
    </row>
    <row r="361" spans="1:1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118"/>
      <c r="N361" s="69"/>
      <c r="O361" s="69"/>
    </row>
    <row r="362" spans="1:1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118"/>
      <c r="N362" s="69"/>
      <c r="O362" s="69"/>
    </row>
    <row r="363" spans="1:1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118"/>
      <c r="N363" s="69"/>
      <c r="O363" s="69"/>
    </row>
    <row r="364" spans="1:1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118"/>
      <c r="N364" s="69"/>
      <c r="O364" s="69"/>
    </row>
    <row r="365" spans="1:1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118"/>
      <c r="N365" s="69"/>
      <c r="O365" s="69"/>
    </row>
    <row r="366" spans="1:1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118"/>
      <c r="N366" s="69"/>
      <c r="O366" s="69"/>
    </row>
    <row r="367" spans="1:1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118"/>
      <c r="N367" s="69"/>
      <c r="O367" s="69"/>
    </row>
    <row r="368" spans="1:1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118"/>
      <c r="N368" s="69"/>
      <c r="O368" s="69"/>
    </row>
    <row r="369" spans="1:1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118"/>
      <c r="N369" s="69"/>
      <c r="O369" s="69"/>
    </row>
    <row r="370" spans="1:1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118"/>
      <c r="N370" s="69"/>
      <c r="O370" s="69"/>
    </row>
    <row r="371" spans="1:1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118"/>
      <c r="N371" s="69"/>
      <c r="O371" s="69"/>
    </row>
    <row r="372" spans="1:1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118"/>
      <c r="N372" s="69"/>
      <c r="O372" s="69"/>
    </row>
    <row r="373" spans="1:1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118"/>
      <c r="N373" s="69"/>
      <c r="O373" s="69"/>
    </row>
    <row r="374" spans="1:1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118"/>
      <c r="N374" s="69"/>
      <c r="O374" s="69"/>
    </row>
    <row r="375" spans="1:1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118"/>
      <c r="N375" s="69"/>
      <c r="O375" s="69"/>
    </row>
    <row r="376" spans="1:1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118"/>
      <c r="N376" s="69"/>
      <c r="O376" s="69"/>
    </row>
    <row r="377" spans="1:1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118"/>
      <c r="N377" s="69"/>
      <c r="O377" s="69"/>
    </row>
    <row r="378" spans="1:1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118"/>
      <c r="N378" s="69"/>
      <c r="O378" s="69"/>
    </row>
    <row r="379" spans="1:1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118"/>
      <c r="N379" s="69"/>
      <c r="O379" s="69"/>
    </row>
    <row r="380" spans="1:1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118"/>
      <c r="N380" s="69"/>
      <c r="O380" s="69"/>
    </row>
    <row r="381" spans="1:1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118"/>
      <c r="N381" s="69"/>
      <c r="O381" s="69"/>
    </row>
    <row r="382" spans="1:1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118"/>
      <c r="N382" s="69"/>
      <c r="O382" s="69"/>
    </row>
    <row r="383" spans="1:1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118"/>
      <c r="N383" s="69"/>
      <c r="O383" s="69"/>
    </row>
    <row r="384" spans="1:1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118"/>
      <c r="N384" s="69"/>
      <c r="O384" s="69"/>
    </row>
    <row r="385" spans="1:1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118"/>
      <c r="N385" s="69"/>
      <c r="O385" s="69"/>
    </row>
    <row r="386" spans="1:1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118"/>
      <c r="N386" s="69"/>
      <c r="O386" s="69"/>
    </row>
    <row r="387" spans="1:1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118"/>
      <c r="N387" s="69"/>
      <c r="O387" s="69"/>
    </row>
    <row r="388" spans="1:1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118"/>
      <c r="N388" s="69"/>
      <c r="O388" s="69"/>
    </row>
    <row r="389" spans="1:1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118"/>
      <c r="N389" s="69"/>
      <c r="O389" s="69"/>
    </row>
    <row r="390" spans="1:1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118"/>
      <c r="N390" s="69"/>
      <c r="O390" s="69"/>
    </row>
    <row r="391" spans="1:1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118"/>
      <c r="N391" s="69"/>
      <c r="O391" s="69"/>
    </row>
    <row r="392" spans="1:1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118"/>
      <c r="N392" s="69"/>
      <c r="O392" s="69"/>
    </row>
    <row r="393" spans="1:1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118"/>
      <c r="N393" s="69"/>
      <c r="O393" s="69"/>
    </row>
    <row r="394" spans="1:1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118"/>
      <c r="N394" s="69"/>
      <c r="O394" s="69"/>
    </row>
    <row r="395" spans="1:1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118"/>
      <c r="N395" s="69"/>
      <c r="O395" s="69"/>
    </row>
    <row r="396" spans="1:1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118"/>
      <c r="N396" s="69"/>
      <c r="O396" s="69"/>
    </row>
    <row r="397" spans="1:1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118"/>
      <c r="N397" s="69"/>
      <c r="O397" s="69"/>
    </row>
    <row r="398" spans="1:1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118"/>
      <c r="N398" s="69"/>
      <c r="O398" s="69"/>
    </row>
    <row r="399" spans="1:1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118"/>
      <c r="N399" s="69"/>
      <c r="O399" s="69"/>
    </row>
    <row r="400" spans="1:1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118"/>
      <c r="N400" s="69"/>
      <c r="O400" s="69"/>
    </row>
    <row r="401" spans="1:1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118"/>
      <c r="N401" s="69"/>
      <c r="O401" s="69"/>
    </row>
    <row r="402" spans="1:1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118"/>
      <c r="N402" s="69"/>
      <c r="O402" s="69"/>
    </row>
    <row r="403" spans="1:1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118"/>
      <c r="N403" s="69"/>
      <c r="O403" s="69"/>
    </row>
    <row r="404" spans="1:1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118"/>
      <c r="N404" s="69"/>
      <c r="O404" s="69"/>
    </row>
    <row r="405" spans="1:1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118"/>
      <c r="N405" s="69"/>
      <c r="O405" s="69"/>
    </row>
    <row r="406" spans="1:1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118"/>
      <c r="N406" s="69"/>
      <c r="O406" s="69"/>
    </row>
    <row r="407" spans="1:1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118"/>
      <c r="N407" s="69"/>
      <c r="O407" s="69"/>
    </row>
    <row r="408" spans="1:1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118"/>
      <c r="N408" s="69"/>
      <c r="O408" s="69"/>
    </row>
    <row r="409" spans="1:1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118"/>
      <c r="N409" s="69"/>
      <c r="O409" s="69"/>
    </row>
    <row r="410" spans="1:1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118"/>
      <c r="N410" s="69"/>
      <c r="O410" s="69"/>
    </row>
    <row r="411" spans="1:1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118"/>
      <c r="N411" s="69"/>
      <c r="O411" s="69"/>
    </row>
    <row r="412" spans="1:1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118"/>
      <c r="N412" s="69"/>
      <c r="O412" s="69"/>
    </row>
    <row r="413" spans="1:1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118"/>
      <c r="N413" s="69"/>
      <c r="O413" s="69"/>
    </row>
    <row r="414" spans="1:1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118"/>
      <c r="N414" s="69"/>
      <c r="O414" s="69"/>
    </row>
    <row r="415" spans="1: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118"/>
      <c r="N415" s="69"/>
      <c r="O415" s="69"/>
    </row>
    <row r="416" spans="1:1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118"/>
      <c r="N416" s="69"/>
      <c r="O416" s="69"/>
    </row>
    <row r="417" spans="1:1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118"/>
      <c r="N417" s="69"/>
      <c r="O417" s="69"/>
    </row>
    <row r="418" spans="1:1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118"/>
      <c r="N418" s="69"/>
      <c r="O418" s="69"/>
    </row>
    <row r="419" spans="1:1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118"/>
      <c r="N419" s="69"/>
      <c r="O419" s="69"/>
    </row>
    <row r="420" spans="1:1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118"/>
      <c r="N420" s="69"/>
      <c r="O420" s="69"/>
    </row>
    <row r="421" spans="1:1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118"/>
      <c r="N421" s="69"/>
      <c r="O421" s="69"/>
    </row>
    <row r="422" spans="1:1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118"/>
      <c r="N422" s="69"/>
      <c r="O422" s="69"/>
    </row>
    <row r="423" spans="1:1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118"/>
      <c r="N423" s="69"/>
      <c r="O423" s="69"/>
    </row>
    <row r="424" spans="1:1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118"/>
      <c r="N424" s="69"/>
      <c r="O424" s="69"/>
    </row>
    <row r="425" spans="1:1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118"/>
      <c r="N425" s="69"/>
      <c r="O425" s="69"/>
    </row>
    <row r="426" spans="1:1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118"/>
      <c r="N426" s="69"/>
      <c r="O426" s="69"/>
    </row>
    <row r="427" spans="1:1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118"/>
      <c r="N427" s="69"/>
      <c r="O427" s="69"/>
    </row>
    <row r="428" spans="1:1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118"/>
      <c r="N428" s="69"/>
      <c r="O428" s="69"/>
    </row>
    <row r="429" spans="1:1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118"/>
      <c r="N429" s="69"/>
      <c r="O429" s="69"/>
    </row>
    <row r="430" spans="1:1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118"/>
      <c r="N430" s="69"/>
      <c r="O430" s="69"/>
    </row>
    <row r="431" spans="1:1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118"/>
      <c r="N431" s="69"/>
      <c r="O431" s="69"/>
    </row>
    <row r="432" spans="1:1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118"/>
      <c r="N432" s="69"/>
      <c r="O432" s="69"/>
    </row>
    <row r="433" spans="1:1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118"/>
      <c r="N433" s="69"/>
      <c r="O433" s="69"/>
    </row>
    <row r="434" spans="1:1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118"/>
      <c r="N434" s="69"/>
      <c r="O434" s="69"/>
    </row>
    <row r="435" spans="1:1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118"/>
      <c r="N435" s="69"/>
      <c r="O435" s="69"/>
    </row>
    <row r="436" spans="1:1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118"/>
      <c r="N436" s="69"/>
      <c r="O436" s="69"/>
    </row>
    <row r="437" spans="1:1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118"/>
      <c r="N437" s="69"/>
      <c r="O437" s="69"/>
    </row>
    <row r="438" spans="1:1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118"/>
      <c r="N438" s="69"/>
      <c r="O438" s="69"/>
    </row>
    <row r="439" spans="1:1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118"/>
      <c r="N439" s="69"/>
      <c r="O439" s="69"/>
    </row>
    <row r="440" spans="1:1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118"/>
      <c r="N440" s="69"/>
      <c r="O440" s="69"/>
    </row>
    <row r="441" spans="1:1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118"/>
      <c r="N441" s="69"/>
      <c r="O441" s="69"/>
    </row>
    <row r="442" spans="1:1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118"/>
      <c r="N442" s="69"/>
      <c r="O442" s="69"/>
    </row>
    <row r="443" spans="1:1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118"/>
      <c r="N443" s="69"/>
      <c r="O443" s="69"/>
    </row>
    <row r="444" spans="1:1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118"/>
      <c r="N444" s="69"/>
      <c r="O444" s="69"/>
    </row>
    <row r="445" spans="1:1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118"/>
      <c r="N445" s="69"/>
      <c r="O445" s="69"/>
    </row>
    <row r="446" spans="1:1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118"/>
      <c r="N446" s="69"/>
      <c r="O446" s="69"/>
    </row>
    <row r="447" spans="1:1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118"/>
      <c r="N447" s="69"/>
      <c r="O447" s="69"/>
    </row>
    <row r="448" spans="1:1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118"/>
      <c r="N448" s="69"/>
      <c r="O448" s="69"/>
    </row>
    <row r="449" spans="1:1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118"/>
      <c r="N449" s="69"/>
      <c r="O449" s="69"/>
    </row>
    <row r="450" spans="1:1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118"/>
      <c r="N450" s="69"/>
      <c r="O450" s="69"/>
    </row>
    <row r="451" spans="1:1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118"/>
      <c r="N451" s="69"/>
      <c r="O451" s="69"/>
    </row>
    <row r="452" spans="1:1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118"/>
      <c r="N452" s="69"/>
      <c r="O452" s="69"/>
    </row>
    <row r="453" spans="1:1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118"/>
      <c r="N453" s="69"/>
      <c r="O453" s="69"/>
    </row>
    <row r="454" spans="1:1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118"/>
      <c r="N454" s="69"/>
      <c r="O454" s="69"/>
    </row>
    <row r="455" spans="1:1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118"/>
      <c r="N455" s="69"/>
      <c r="O455" s="69"/>
    </row>
    <row r="456" spans="1:1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118"/>
      <c r="N456" s="69"/>
      <c r="O456" s="69"/>
    </row>
    <row r="457" spans="1:1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118"/>
      <c r="N457" s="69"/>
      <c r="O457" s="69"/>
    </row>
    <row r="458" spans="1:1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118"/>
      <c r="N458" s="69"/>
      <c r="O458" s="69"/>
    </row>
    <row r="459" spans="1:1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118"/>
      <c r="N459" s="69"/>
      <c r="O459" s="69"/>
    </row>
    <row r="460" spans="1:1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118"/>
      <c r="N460" s="69"/>
      <c r="O460" s="69"/>
    </row>
    <row r="461" spans="1:1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118"/>
      <c r="N461" s="69"/>
      <c r="O461" s="69"/>
    </row>
    <row r="462" spans="1:1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118"/>
      <c r="N462" s="69"/>
      <c r="O462" s="69"/>
    </row>
    <row r="463" spans="1:1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118"/>
      <c r="N463" s="69"/>
      <c r="O463" s="69"/>
    </row>
    <row r="464" spans="1:1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118"/>
      <c r="N464" s="69"/>
      <c r="O464" s="69"/>
    </row>
    <row r="465" spans="1:1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118"/>
      <c r="N465" s="69"/>
      <c r="O465" s="69"/>
    </row>
    <row r="466" spans="1:1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118"/>
      <c r="N466" s="69"/>
      <c r="O466" s="69"/>
    </row>
    <row r="467" spans="1:1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118"/>
      <c r="N467" s="69"/>
      <c r="O467" s="69"/>
    </row>
    <row r="468" spans="1:1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118"/>
      <c r="N468" s="69"/>
      <c r="O468" s="69"/>
    </row>
    <row r="469" spans="1:1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118"/>
      <c r="N469" s="69"/>
      <c r="O469" s="69"/>
    </row>
    <row r="470" spans="1:1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118"/>
      <c r="N470" s="69"/>
      <c r="O470" s="69"/>
    </row>
    <row r="471" spans="1:1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118"/>
      <c r="N471" s="69"/>
      <c r="O471" s="69"/>
    </row>
    <row r="472" spans="1:1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118"/>
      <c r="N472" s="69"/>
      <c r="O472" s="69"/>
    </row>
    <row r="473" spans="1:1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118"/>
      <c r="N473" s="69"/>
      <c r="O473" s="69"/>
    </row>
    <row r="474" spans="1:1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118"/>
      <c r="N474" s="69"/>
      <c r="O474" s="69"/>
    </row>
    <row r="475" spans="1:1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118"/>
      <c r="N475" s="69"/>
      <c r="O475" s="69"/>
    </row>
    <row r="476" spans="1:1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118"/>
      <c r="N476" s="69"/>
      <c r="O476" s="69"/>
    </row>
    <row r="477" spans="1:1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118"/>
      <c r="N477" s="69"/>
      <c r="O477" s="69"/>
    </row>
    <row r="478" spans="1:1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118"/>
      <c r="N478" s="69"/>
      <c r="O478" s="69"/>
    </row>
    <row r="479" spans="1:1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118"/>
      <c r="N479" s="69"/>
      <c r="O479" s="69"/>
    </row>
    <row r="480" spans="1:1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118"/>
      <c r="N480" s="69"/>
      <c r="O480" s="69"/>
    </row>
    <row r="481" spans="1:1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118"/>
      <c r="N481" s="69"/>
      <c r="O481" s="69"/>
    </row>
    <row r="482" spans="1:1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118"/>
      <c r="N482" s="69"/>
      <c r="O482" s="69"/>
    </row>
    <row r="483" spans="1:1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118"/>
      <c r="N483" s="69"/>
      <c r="O483" s="69"/>
    </row>
    <row r="484" spans="1:1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118"/>
      <c r="N484" s="69"/>
      <c r="O484" s="69"/>
    </row>
    <row r="485" spans="1:1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118"/>
      <c r="N485" s="69"/>
      <c r="O485" s="69"/>
    </row>
    <row r="486" spans="1:1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118"/>
      <c r="N486" s="69"/>
      <c r="O486" s="69"/>
    </row>
    <row r="487" spans="1:1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118"/>
      <c r="N487" s="69"/>
      <c r="O487" s="69"/>
    </row>
    <row r="488" spans="1:1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118"/>
      <c r="N488" s="69"/>
      <c r="O488" s="69"/>
    </row>
    <row r="489" spans="1:1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118"/>
      <c r="N489" s="69"/>
      <c r="O489" s="69"/>
    </row>
    <row r="490" spans="1:1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118"/>
      <c r="N490" s="69"/>
      <c r="O490" s="69"/>
    </row>
    <row r="491" spans="1:1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118"/>
      <c r="N491" s="69"/>
      <c r="O491" s="69"/>
    </row>
    <row r="492" spans="1:1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118"/>
      <c r="N492" s="69"/>
      <c r="O492" s="69"/>
    </row>
    <row r="493" spans="1:1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118"/>
      <c r="N493" s="69"/>
      <c r="O493" s="69"/>
    </row>
    <row r="494" spans="1:1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118"/>
      <c r="N494" s="69"/>
      <c r="O494" s="69"/>
    </row>
    <row r="495" spans="1:1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118"/>
      <c r="N495" s="69"/>
      <c r="O495" s="69"/>
    </row>
    <row r="496" spans="1:1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118"/>
      <c r="N496" s="69"/>
      <c r="O496" s="69"/>
    </row>
    <row r="497" spans="1:1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118"/>
      <c r="N497" s="69"/>
      <c r="O497" s="69"/>
    </row>
    <row r="498" spans="1:1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118"/>
      <c r="N498" s="69"/>
      <c r="O498" s="69"/>
    </row>
    <row r="499" spans="1:1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118"/>
      <c r="N499" s="69"/>
      <c r="O499" s="69"/>
    </row>
    <row r="500" spans="1:1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118"/>
      <c r="N500" s="69"/>
      <c r="O500" s="69"/>
    </row>
    <row r="501" spans="1:1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118"/>
      <c r="N501" s="69"/>
      <c r="O501" s="69"/>
    </row>
    <row r="502" spans="1:1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118"/>
      <c r="N502" s="69"/>
      <c r="O502" s="69"/>
    </row>
    <row r="503" spans="1:1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118"/>
      <c r="N503" s="69"/>
      <c r="O503" s="69"/>
    </row>
    <row r="504" spans="1:1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118"/>
      <c r="N504" s="69"/>
      <c r="O504" s="69"/>
    </row>
    <row r="505" spans="1:1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118"/>
      <c r="N505" s="69"/>
      <c r="O505" s="69"/>
    </row>
    <row r="506" spans="1:1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118"/>
      <c r="N506" s="69"/>
      <c r="O506" s="69"/>
    </row>
    <row r="507" spans="1:1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118"/>
      <c r="N507" s="69"/>
      <c r="O507" s="69"/>
    </row>
    <row r="508" spans="1:1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118"/>
      <c r="N508" s="69"/>
      <c r="O508" s="69"/>
    </row>
    <row r="509" spans="1:1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118"/>
      <c r="N509" s="69"/>
      <c r="O509" s="69"/>
    </row>
    <row r="510" spans="1:1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118"/>
      <c r="N510" s="69"/>
      <c r="O510" s="69"/>
    </row>
    <row r="511" spans="1:1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118"/>
      <c r="N511" s="69"/>
      <c r="O511" s="69"/>
    </row>
    <row r="512" spans="1:1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118"/>
      <c r="N512" s="69"/>
      <c r="O512" s="69"/>
    </row>
    <row r="513" spans="1:1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118"/>
      <c r="N513" s="69"/>
      <c r="O513" s="69"/>
    </row>
    <row r="514" spans="1:1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118"/>
      <c r="N514" s="69"/>
      <c r="O514" s="69"/>
    </row>
    <row r="515" spans="1: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118"/>
      <c r="N515" s="69"/>
      <c r="O515" s="69"/>
    </row>
    <row r="516" spans="1:1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118"/>
      <c r="N516" s="69"/>
      <c r="O516" s="69"/>
    </row>
    <row r="517" spans="1:1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118"/>
      <c r="N517" s="69"/>
      <c r="O517" s="69"/>
    </row>
    <row r="518" spans="1:1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118"/>
      <c r="N518" s="69"/>
      <c r="O518" s="69"/>
    </row>
    <row r="519" spans="1:1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118"/>
      <c r="N519" s="69"/>
      <c r="O519" s="69"/>
    </row>
    <row r="520" spans="1:1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118"/>
      <c r="N520" s="69"/>
      <c r="O520" s="69"/>
    </row>
    <row r="521" spans="1:1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118"/>
      <c r="N521" s="69"/>
      <c r="O521" s="69"/>
    </row>
    <row r="522" spans="1:1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118"/>
      <c r="N522" s="69"/>
      <c r="O522" s="69"/>
    </row>
    <row r="523" spans="1:1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118"/>
      <c r="N523" s="69"/>
      <c r="O523" s="69"/>
    </row>
    <row r="524" spans="1:1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118"/>
      <c r="N524" s="69"/>
      <c r="O524" s="69"/>
    </row>
    <row r="525" spans="1:1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118"/>
      <c r="N525" s="69"/>
      <c r="O525" s="69"/>
    </row>
    <row r="526" spans="1:1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118"/>
      <c r="N526" s="69"/>
      <c r="O526" s="69"/>
    </row>
    <row r="527" spans="1:1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118"/>
      <c r="N527" s="69"/>
      <c r="O527" s="69"/>
    </row>
    <row r="528" spans="1:1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118"/>
      <c r="N528" s="69"/>
      <c r="O528" s="69"/>
    </row>
    <row r="529" spans="1:1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118"/>
      <c r="N529" s="69"/>
      <c r="O529" s="69"/>
    </row>
    <row r="530" spans="1:1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118"/>
      <c r="N530" s="69"/>
      <c r="O530" s="69"/>
    </row>
    <row r="531" spans="1:1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118"/>
      <c r="N531" s="69"/>
      <c r="O531" s="69"/>
    </row>
    <row r="532" spans="1:1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118"/>
      <c r="N532" s="69"/>
      <c r="O532" s="69"/>
    </row>
    <row r="533" spans="1:1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118"/>
      <c r="N533" s="69"/>
      <c r="O533" s="69"/>
    </row>
    <row r="534" spans="1:1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118"/>
      <c r="N534" s="69"/>
      <c r="O534" s="69"/>
    </row>
    <row r="535" spans="1:1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118"/>
      <c r="N535" s="69"/>
      <c r="O535" s="69"/>
    </row>
    <row r="536" spans="1:1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118"/>
      <c r="N536" s="69"/>
      <c r="O536" s="69"/>
    </row>
    <row r="537" spans="1:1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118"/>
      <c r="N537" s="69"/>
      <c r="O537" s="69"/>
    </row>
    <row r="538" spans="1:1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118"/>
      <c r="N538" s="69"/>
      <c r="O538" s="69"/>
    </row>
    <row r="539" spans="1:1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118"/>
      <c r="N539" s="69"/>
      <c r="O539" s="69"/>
    </row>
    <row r="540" spans="1:1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118"/>
      <c r="N540" s="69"/>
      <c r="O540" s="69"/>
    </row>
    <row r="541" spans="1:1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118"/>
      <c r="N541" s="69"/>
      <c r="O541" s="69"/>
    </row>
    <row r="542" spans="1:1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118"/>
      <c r="N542" s="69"/>
      <c r="O542" s="69"/>
    </row>
    <row r="543" spans="1:1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118"/>
      <c r="N543" s="69"/>
      <c r="O543" s="69"/>
    </row>
    <row r="544" spans="1:1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118"/>
      <c r="N544" s="69"/>
      <c r="O544" s="69"/>
    </row>
    <row r="545" spans="1:1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118"/>
      <c r="N545" s="69"/>
      <c r="O545" s="69"/>
    </row>
    <row r="546" spans="1:1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118"/>
      <c r="N546" s="69"/>
      <c r="O546" s="69"/>
    </row>
    <row r="547" spans="1:1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118"/>
      <c r="N547" s="69"/>
      <c r="O547" s="69"/>
    </row>
    <row r="548" spans="1:1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118"/>
      <c r="N548" s="69"/>
      <c r="O548" s="69"/>
    </row>
    <row r="549" spans="1:1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118"/>
      <c r="N549" s="69"/>
      <c r="O549" s="69"/>
    </row>
    <row r="550" spans="1:1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118"/>
      <c r="N550" s="69"/>
      <c r="O550" s="69"/>
    </row>
    <row r="551" spans="1:1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118"/>
      <c r="N551" s="69"/>
      <c r="O551" s="69"/>
    </row>
    <row r="552" spans="1:1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118"/>
      <c r="N552" s="69"/>
      <c r="O552" s="69"/>
    </row>
    <row r="553" spans="1:1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118"/>
      <c r="N553" s="69"/>
      <c r="O553" s="69"/>
    </row>
    <row r="554" spans="1:1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118"/>
      <c r="N554" s="69"/>
      <c r="O554" s="69"/>
    </row>
    <row r="555" spans="1:1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118"/>
      <c r="N555" s="69"/>
      <c r="O555" s="69"/>
    </row>
    <row r="556" spans="1:1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118"/>
      <c r="N556" s="69"/>
      <c r="O556" s="69"/>
    </row>
    <row r="557" spans="1:1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118"/>
      <c r="N557" s="69"/>
      <c r="O557" s="69"/>
    </row>
    <row r="558" spans="1:1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118"/>
      <c r="N558" s="69"/>
      <c r="O558" s="69"/>
    </row>
    <row r="559" spans="1:1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118"/>
      <c r="N559" s="69"/>
      <c r="O559" s="69"/>
    </row>
    <row r="560" spans="1:1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118"/>
      <c r="N560" s="69"/>
      <c r="O560" s="69"/>
    </row>
    <row r="561" spans="1:1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118"/>
      <c r="N561" s="69"/>
      <c r="O561" s="69"/>
    </row>
    <row r="562" spans="1:1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118"/>
      <c r="N562" s="69"/>
      <c r="O562" s="69"/>
    </row>
    <row r="563" spans="1:1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118"/>
      <c r="N563" s="69"/>
      <c r="O563" s="69"/>
    </row>
    <row r="564" spans="1:1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118"/>
      <c r="N564" s="69"/>
      <c r="O564" s="69"/>
    </row>
    <row r="565" spans="1:1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118"/>
      <c r="N565" s="69"/>
      <c r="O565" s="69"/>
    </row>
    <row r="566" spans="1:1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118"/>
      <c r="N566" s="69"/>
      <c r="O566" s="69"/>
    </row>
    <row r="567" spans="1:1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118"/>
      <c r="N567" s="69"/>
      <c r="O567" s="69"/>
    </row>
    <row r="568" spans="1:1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118"/>
      <c r="N568" s="69"/>
      <c r="O568" s="69"/>
    </row>
    <row r="569" spans="1:1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118"/>
      <c r="N569" s="69"/>
      <c r="O569" s="69"/>
    </row>
    <row r="570" spans="1:1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118"/>
      <c r="N570" s="69"/>
      <c r="O570" s="69"/>
    </row>
    <row r="571" spans="1:1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118"/>
      <c r="N571" s="69"/>
      <c r="O571" s="69"/>
    </row>
    <row r="572" spans="1:1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118"/>
      <c r="N572" s="69"/>
      <c r="O572" s="69"/>
    </row>
    <row r="573" spans="1:1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118"/>
      <c r="N573" s="69"/>
      <c r="O573" s="69"/>
    </row>
    <row r="574" spans="1:1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118"/>
      <c r="N574" s="69"/>
      <c r="O574" s="69"/>
    </row>
    <row r="575" spans="1:1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118"/>
      <c r="N575" s="69"/>
      <c r="O575" s="69"/>
    </row>
    <row r="576" spans="1:1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118"/>
      <c r="N576" s="69"/>
      <c r="O576" s="69"/>
    </row>
    <row r="577" spans="1:1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118"/>
      <c r="N577" s="69"/>
      <c r="O577" s="69"/>
    </row>
    <row r="578" spans="1:1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118"/>
      <c r="N578" s="69"/>
      <c r="O578" s="69"/>
    </row>
    <row r="579" spans="1:1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118"/>
      <c r="N579" s="69"/>
      <c r="O579" s="69"/>
    </row>
    <row r="580" spans="1:1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118"/>
      <c r="N580" s="69"/>
      <c r="O580" s="69"/>
    </row>
    <row r="581" spans="1:1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118"/>
      <c r="N581" s="69"/>
      <c r="O581" s="69"/>
    </row>
    <row r="582" spans="1:1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118"/>
      <c r="N582" s="69"/>
      <c r="O582" s="69"/>
    </row>
    <row r="583" spans="1:1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118"/>
      <c r="N583" s="69"/>
      <c r="O583" s="69"/>
    </row>
    <row r="584" spans="1:1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118"/>
      <c r="N584" s="69"/>
      <c r="O584" s="69"/>
    </row>
    <row r="585" spans="1:1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118"/>
      <c r="N585" s="69"/>
      <c r="O585" s="69"/>
    </row>
    <row r="586" spans="1:1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118"/>
      <c r="N586" s="69"/>
      <c r="O586" s="69"/>
    </row>
    <row r="587" spans="1:1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118"/>
      <c r="N587" s="69"/>
      <c r="O587" s="69"/>
    </row>
    <row r="588" spans="1:1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118"/>
      <c r="N588" s="69"/>
      <c r="O588" s="69"/>
    </row>
    <row r="589" spans="1:1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118"/>
      <c r="N589" s="69"/>
      <c r="O589" s="69"/>
    </row>
    <row r="590" spans="1:1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118"/>
      <c r="N590" s="69"/>
      <c r="O590" s="69"/>
    </row>
    <row r="591" spans="1:1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118"/>
      <c r="N591" s="69"/>
      <c r="O591" s="69"/>
    </row>
    <row r="592" spans="1:1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118"/>
      <c r="N592" s="69"/>
      <c r="O592" s="69"/>
    </row>
    <row r="593" spans="1:1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118"/>
      <c r="N593" s="69"/>
      <c r="O593" s="69"/>
    </row>
    <row r="594" spans="1:1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118"/>
      <c r="N594" s="69"/>
      <c r="O594" s="69"/>
    </row>
    <row r="595" spans="1:1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118"/>
      <c r="N595" s="69"/>
      <c r="O595" s="69"/>
    </row>
    <row r="596" spans="1:1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118"/>
      <c r="N596" s="69"/>
      <c r="O596" s="69"/>
    </row>
    <row r="597" spans="1:1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118"/>
      <c r="N597" s="69"/>
      <c r="O597" s="69"/>
    </row>
    <row r="598" spans="1:1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118"/>
      <c r="N598" s="69"/>
      <c r="O598" s="69"/>
    </row>
    <row r="599" spans="1:1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118"/>
      <c r="N599" s="69"/>
      <c r="O599" s="69"/>
    </row>
    <row r="600" spans="1:1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118"/>
      <c r="N600" s="69"/>
      <c r="O600" s="69"/>
    </row>
    <row r="601" spans="1:1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118"/>
      <c r="N601" s="69"/>
      <c r="O601" s="69"/>
    </row>
    <row r="602" spans="1:1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118"/>
      <c r="N602" s="69"/>
      <c r="O602" s="69"/>
    </row>
    <row r="603" spans="1:1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118"/>
      <c r="N603" s="69"/>
      <c r="O603" s="69"/>
    </row>
    <row r="604" spans="1:1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118"/>
      <c r="N604" s="69"/>
      <c r="O604" s="69"/>
    </row>
    <row r="605" spans="1:1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118"/>
      <c r="N605" s="69"/>
      <c r="O605" s="69"/>
    </row>
    <row r="606" spans="1:1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118"/>
      <c r="N606" s="69"/>
      <c r="O606" s="69"/>
    </row>
    <row r="607" spans="1:1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118"/>
      <c r="N607" s="69"/>
      <c r="O607" s="69"/>
    </row>
    <row r="608" spans="1:1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118"/>
      <c r="N608" s="69"/>
      <c r="O608" s="69"/>
    </row>
    <row r="609" spans="1:1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118"/>
      <c r="N609" s="69"/>
      <c r="O609" s="69"/>
    </row>
    <row r="610" spans="1:1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118"/>
      <c r="N610" s="69"/>
      <c r="O610" s="69"/>
    </row>
    <row r="611" spans="1:1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118"/>
      <c r="N611" s="69"/>
      <c r="O611" s="69"/>
    </row>
    <row r="612" spans="1:1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118"/>
      <c r="N612" s="69"/>
      <c r="O612" s="69"/>
    </row>
    <row r="613" spans="1:1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118"/>
      <c r="N613" s="69"/>
      <c r="O613" s="69"/>
    </row>
    <row r="614" spans="1:1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118"/>
      <c r="N614" s="69"/>
      <c r="O614" s="69"/>
    </row>
    <row r="615" spans="1: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118"/>
      <c r="N615" s="69"/>
      <c r="O615" s="69"/>
    </row>
    <row r="616" spans="1:1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118"/>
      <c r="N616" s="69"/>
      <c r="O616" s="69"/>
    </row>
    <row r="617" spans="1:1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118"/>
      <c r="N617" s="69"/>
      <c r="O617" s="69"/>
    </row>
    <row r="618" spans="1:1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118"/>
      <c r="N618" s="69"/>
      <c r="O618" s="69"/>
    </row>
    <row r="619" spans="1:1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118"/>
      <c r="N619" s="69"/>
      <c r="O619" s="69"/>
    </row>
    <row r="620" spans="1:1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118"/>
      <c r="N620" s="69"/>
      <c r="O620" s="69"/>
    </row>
    <row r="621" spans="1:1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118"/>
      <c r="N621" s="69"/>
      <c r="O621" s="69"/>
    </row>
    <row r="622" spans="1:1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118"/>
      <c r="N622" s="69"/>
      <c r="O622" s="69"/>
    </row>
    <row r="623" spans="1:1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118"/>
      <c r="N623" s="69"/>
      <c r="O623" s="69"/>
    </row>
    <row r="624" spans="1:1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118"/>
      <c r="N624" s="69"/>
      <c r="O624" s="69"/>
    </row>
    <row r="625" spans="1:1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118"/>
      <c r="N625" s="69"/>
      <c r="O625" s="69"/>
    </row>
    <row r="626" spans="1:1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118"/>
      <c r="N626" s="69"/>
      <c r="O626" s="69"/>
    </row>
    <row r="627" spans="1:1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118"/>
      <c r="N627" s="69"/>
      <c r="O627" s="69"/>
    </row>
    <row r="628" spans="1:1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118"/>
      <c r="N628" s="69"/>
      <c r="O628" s="69"/>
    </row>
    <row r="629" spans="1:1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118"/>
      <c r="N629" s="69"/>
      <c r="O629" s="69"/>
    </row>
    <row r="630" spans="1:1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118"/>
      <c r="N630" s="69"/>
      <c r="O630" s="69"/>
    </row>
    <row r="631" spans="1:1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118"/>
      <c r="N631" s="69"/>
      <c r="O631" s="69"/>
    </row>
    <row r="632" spans="1:1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118"/>
      <c r="N632" s="69"/>
      <c r="O632" s="69"/>
    </row>
    <row r="633" spans="1:1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118"/>
      <c r="N633" s="69"/>
      <c r="O633" s="69"/>
    </row>
    <row r="634" spans="1:1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118"/>
      <c r="N634" s="69"/>
      <c r="O634" s="69"/>
    </row>
    <row r="635" spans="1:1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118"/>
      <c r="N635" s="69"/>
      <c r="O635" s="69"/>
    </row>
    <row r="636" spans="1:1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118"/>
      <c r="N636" s="69"/>
      <c r="O636" s="69"/>
    </row>
    <row r="637" spans="1:1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118"/>
      <c r="N637" s="69"/>
      <c r="O637" s="69"/>
    </row>
    <row r="638" spans="1:1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118"/>
      <c r="N638" s="69"/>
      <c r="O638" s="69"/>
    </row>
    <row r="639" spans="1:1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118"/>
      <c r="N639" s="69"/>
      <c r="O639" s="69"/>
    </row>
    <row r="640" spans="1:1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118"/>
      <c r="N640" s="69"/>
      <c r="O640" s="69"/>
    </row>
    <row r="641" spans="1:1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118"/>
      <c r="N641" s="69"/>
      <c r="O641" s="69"/>
    </row>
    <row r="642" spans="1:1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118"/>
      <c r="N642" s="69"/>
      <c r="O642" s="69"/>
    </row>
    <row r="643" spans="1:1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118"/>
      <c r="N643" s="69"/>
      <c r="O643" s="69"/>
    </row>
    <row r="644" spans="1:1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118"/>
      <c r="N644" s="69"/>
      <c r="O644" s="69"/>
    </row>
    <row r="645" spans="1:1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118"/>
      <c r="N645" s="69"/>
      <c r="O645" s="69"/>
    </row>
    <row r="646" spans="1:1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118"/>
      <c r="N646" s="69"/>
      <c r="O646" s="69"/>
    </row>
    <row r="647" spans="1:1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118"/>
      <c r="N647" s="69"/>
      <c r="O647" s="69"/>
    </row>
    <row r="648" spans="1:1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118"/>
      <c r="N648" s="69"/>
      <c r="O648" s="69"/>
    </row>
    <row r="649" spans="1:1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118"/>
      <c r="N649" s="69"/>
      <c r="O649" s="69"/>
    </row>
    <row r="650" spans="1:1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118"/>
      <c r="N650" s="69"/>
      <c r="O650" s="69"/>
    </row>
    <row r="651" spans="1:1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118"/>
      <c r="N651" s="69"/>
      <c r="O651" s="69"/>
    </row>
    <row r="652" spans="1:1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118"/>
      <c r="N652" s="69"/>
      <c r="O652" s="69"/>
    </row>
    <row r="653" spans="1:1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118"/>
      <c r="N653" s="69"/>
      <c r="O653" s="69"/>
    </row>
    <row r="654" spans="1:1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118"/>
      <c r="N654" s="69"/>
      <c r="O654" s="69"/>
    </row>
    <row r="655" spans="1:1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118"/>
      <c r="N655" s="69"/>
      <c r="O655" s="69"/>
    </row>
    <row r="656" spans="1:1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118"/>
      <c r="N656" s="69"/>
      <c r="O656" s="69"/>
    </row>
    <row r="657" spans="1:1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118"/>
      <c r="N657" s="69"/>
      <c r="O657" s="69"/>
    </row>
    <row r="658" spans="1:1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118"/>
      <c r="N658" s="69"/>
      <c r="O658" s="69"/>
    </row>
    <row r="659" spans="1:1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118"/>
      <c r="N659" s="69"/>
      <c r="O659" s="69"/>
    </row>
    <row r="660" spans="1:1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118"/>
      <c r="N660" s="69"/>
      <c r="O660" s="69"/>
    </row>
    <row r="661" spans="1:1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118"/>
      <c r="N661" s="69"/>
      <c r="O661" s="69"/>
    </row>
    <row r="662" spans="1:1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118"/>
      <c r="N662" s="69"/>
      <c r="O662" s="69"/>
    </row>
    <row r="663" spans="1:1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118"/>
      <c r="N663" s="69"/>
      <c r="O663" s="69"/>
    </row>
    <row r="664" spans="1:1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118"/>
      <c r="N664" s="69"/>
      <c r="O664" s="69"/>
    </row>
    <row r="665" spans="1:1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118"/>
      <c r="N665" s="69"/>
      <c r="O665" s="69"/>
    </row>
    <row r="666" spans="1:1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118"/>
      <c r="N666" s="69"/>
      <c r="O666" s="69"/>
    </row>
    <row r="667" spans="1:1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118"/>
      <c r="N667" s="69"/>
      <c r="O667" s="69"/>
    </row>
    <row r="668" spans="1:1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118"/>
      <c r="N668" s="69"/>
      <c r="O668" s="69"/>
    </row>
    <row r="669" spans="1:1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118"/>
      <c r="N669" s="69"/>
      <c r="O669" s="69"/>
    </row>
    <row r="670" spans="1:1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118"/>
      <c r="N670" s="69"/>
      <c r="O670" s="69"/>
    </row>
    <row r="671" spans="1:1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118"/>
      <c r="N671" s="69"/>
      <c r="O671" s="69"/>
    </row>
    <row r="672" spans="1:1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118"/>
      <c r="N672" s="69"/>
      <c r="O672" s="69"/>
    </row>
    <row r="673" spans="1:1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118"/>
      <c r="N673" s="69"/>
      <c r="O673" s="69"/>
    </row>
    <row r="674" spans="1:1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118"/>
      <c r="N674" s="69"/>
      <c r="O674" s="69"/>
    </row>
    <row r="675" spans="1:1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118"/>
      <c r="N675" s="69"/>
      <c r="O675" s="69"/>
    </row>
    <row r="676" spans="1:1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118"/>
      <c r="N676" s="69"/>
      <c r="O676" s="69"/>
    </row>
    <row r="677" spans="1:1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118"/>
      <c r="N677" s="69"/>
      <c r="O677" s="69"/>
    </row>
    <row r="678" spans="1:1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118"/>
      <c r="N678" s="69"/>
      <c r="O678" s="69"/>
    </row>
    <row r="679" spans="1:1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118"/>
      <c r="N679" s="69"/>
      <c r="O679" s="69"/>
    </row>
    <row r="680" spans="1:1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118"/>
      <c r="N680" s="69"/>
      <c r="O680" s="69"/>
    </row>
    <row r="681" spans="1:1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118"/>
      <c r="N681" s="69"/>
      <c r="O681" s="69"/>
    </row>
    <row r="682" spans="1:1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118"/>
      <c r="N682" s="69"/>
      <c r="O682" s="69"/>
    </row>
    <row r="683" spans="1:1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118"/>
      <c r="N683" s="69"/>
      <c r="O683" s="69"/>
    </row>
    <row r="684" spans="1:1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118"/>
      <c r="N684" s="69"/>
      <c r="O684" s="69"/>
    </row>
    <row r="685" spans="1:1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118"/>
      <c r="N685" s="69"/>
      <c r="O685" s="69"/>
    </row>
    <row r="686" spans="1:1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118"/>
      <c r="N686" s="69"/>
      <c r="O686" s="69"/>
    </row>
    <row r="687" spans="1:1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118"/>
      <c r="N687" s="69"/>
      <c r="O687" s="69"/>
    </row>
    <row r="688" spans="1:1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118"/>
      <c r="N688" s="69"/>
      <c r="O688" s="69"/>
    </row>
    <row r="689" spans="1:1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118"/>
      <c r="N689" s="69"/>
      <c r="O689" s="69"/>
    </row>
    <row r="690" spans="1:1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118"/>
      <c r="N690" s="69"/>
      <c r="O690" s="69"/>
    </row>
    <row r="691" spans="1:1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118"/>
      <c r="N691" s="69"/>
      <c r="O691" s="69"/>
    </row>
    <row r="692" spans="1:1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118"/>
      <c r="N692" s="69"/>
      <c r="O692" s="69"/>
    </row>
    <row r="693" spans="1:1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118"/>
      <c r="N693" s="69"/>
      <c r="O693" s="69"/>
    </row>
    <row r="694" spans="1:1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118"/>
      <c r="N694" s="69"/>
      <c r="O694" s="69"/>
    </row>
    <row r="695" spans="1:1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118"/>
      <c r="N695" s="69"/>
      <c r="O695" s="69"/>
    </row>
    <row r="696" spans="1:1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118"/>
      <c r="N696" s="69"/>
      <c r="O696" s="69"/>
    </row>
    <row r="697" spans="1:1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118"/>
      <c r="N697" s="69"/>
      <c r="O697" s="69"/>
    </row>
    <row r="698" spans="1:1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118"/>
      <c r="N698" s="69"/>
      <c r="O698" s="69"/>
    </row>
    <row r="699" spans="1:1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118"/>
      <c r="N699" s="69"/>
      <c r="O699" s="69"/>
    </row>
    <row r="700" spans="1:1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118"/>
      <c r="N700" s="69"/>
      <c r="O700" s="69"/>
    </row>
    <row r="701" spans="1:1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118"/>
      <c r="N701" s="69"/>
      <c r="O701" s="69"/>
    </row>
    <row r="702" spans="1:1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118"/>
      <c r="N702" s="69"/>
      <c r="O702" s="69"/>
    </row>
    <row r="703" spans="1:1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118"/>
      <c r="N703" s="69"/>
      <c r="O703" s="69"/>
    </row>
    <row r="704" spans="1:1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118"/>
      <c r="N704" s="69"/>
      <c r="O704" s="69"/>
    </row>
    <row r="705" spans="1:1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118"/>
      <c r="N705" s="69"/>
      <c r="O705" s="69"/>
    </row>
    <row r="706" spans="1:1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118"/>
      <c r="N706" s="69"/>
      <c r="O706" s="69"/>
    </row>
    <row r="707" spans="1:1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118"/>
      <c r="N707" s="69"/>
      <c r="O707" s="69"/>
    </row>
    <row r="708" spans="1:1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118"/>
      <c r="N708" s="69"/>
      <c r="O708" s="69"/>
    </row>
    <row r="709" spans="1:1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118"/>
      <c r="N709" s="69"/>
      <c r="O709" s="69"/>
    </row>
    <row r="710" spans="1:1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118"/>
      <c r="N710" s="69"/>
      <c r="O710" s="69"/>
    </row>
    <row r="711" spans="1:1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118"/>
      <c r="N711" s="69"/>
      <c r="O711" s="69"/>
    </row>
    <row r="712" spans="1:1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118"/>
      <c r="N712" s="69"/>
      <c r="O712" s="69"/>
    </row>
    <row r="713" spans="1:1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118"/>
      <c r="N713" s="69"/>
      <c r="O713" s="69"/>
    </row>
    <row r="714" spans="1:1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118"/>
      <c r="N714" s="69"/>
      <c r="O714" s="69"/>
    </row>
    <row r="715" spans="1: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118"/>
      <c r="N715" s="69"/>
      <c r="O715" s="69"/>
    </row>
    <row r="716" spans="1:1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118"/>
      <c r="N716" s="69"/>
      <c r="O716" s="69"/>
    </row>
    <row r="717" spans="1:1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118"/>
      <c r="N717" s="69"/>
      <c r="O717" s="69"/>
    </row>
    <row r="718" spans="1:1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118"/>
      <c r="N718" s="69"/>
      <c r="O718" s="69"/>
    </row>
    <row r="719" spans="1:1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118"/>
      <c r="N719" s="69"/>
      <c r="O719" s="69"/>
    </row>
    <row r="720" spans="1:1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118"/>
      <c r="N720" s="69"/>
      <c r="O720" s="69"/>
    </row>
    <row r="721" spans="1:1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118"/>
      <c r="N721" s="69"/>
      <c r="O721" s="69"/>
    </row>
    <row r="722" spans="1:1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118"/>
      <c r="N722" s="69"/>
      <c r="O722" s="69"/>
    </row>
    <row r="723" spans="1:1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118"/>
      <c r="N723" s="69"/>
      <c r="O723" s="69"/>
    </row>
    <row r="724" spans="1:1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118"/>
      <c r="N724" s="69"/>
      <c r="O724" s="69"/>
    </row>
    <row r="725" spans="1:1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118"/>
      <c r="N725" s="69"/>
      <c r="O725" s="69"/>
    </row>
    <row r="726" spans="1:1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118"/>
      <c r="N726" s="69"/>
      <c r="O726" s="69"/>
    </row>
    <row r="727" spans="1:1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118"/>
      <c r="N727" s="69"/>
      <c r="O727" s="69"/>
    </row>
    <row r="728" spans="1:1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118"/>
      <c r="N728" s="69"/>
      <c r="O728" s="69"/>
    </row>
    <row r="729" spans="1:1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118"/>
      <c r="N729" s="69"/>
      <c r="O729" s="69"/>
    </row>
    <row r="730" spans="1:1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118"/>
      <c r="N730" s="69"/>
      <c r="O730" s="69"/>
    </row>
    <row r="731" spans="1:1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118"/>
      <c r="N731" s="69"/>
      <c r="O731" s="69"/>
    </row>
    <row r="732" spans="1:1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118"/>
      <c r="N732" s="69"/>
      <c r="O732" s="69"/>
    </row>
    <row r="733" spans="1:1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118"/>
      <c r="N733" s="69"/>
      <c r="O733" s="69"/>
    </row>
    <row r="734" spans="1:1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118"/>
      <c r="N734" s="69"/>
      <c r="O734" s="69"/>
    </row>
    <row r="735" spans="1:1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118"/>
      <c r="N735" s="69"/>
      <c r="O735" s="69"/>
    </row>
    <row r="736" spans="1:1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118"/>
      <c r="N736" s="69"/>
      <c r="O736" s="69"/>
    </row>
    <row r="737" spans="1:1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118"/>
      <c r="N737" s="69"/>
      <c r="O737" s="69"/>
    </row>
    <row r="738" spans="1:1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118"/>
      <c r="N738" s="69"/>
      <c r="O738" s="69"/>
    </row>
    <row r="739" spans="1:1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118"/>
      <c r="N739" s="69"/>
      <c r="O739" s="69"/>
    </row>
    <row r="740" spans="1:1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118"/>
      <c r="N740" s="69"/>
      <c r="O740" s="69"/>
    </row>
    <row r="741" spans="1:1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118"/>
      <c r="N741" s="69"/>
      <c r="O741" s="69"/>
    </row>
    <row r="742" spans="1:1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118"/>
      <c r="N742" s="69"/>
      <c r="O742" s="69"/>
    </row>
    <row r="743" spans="1:1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118"/>
      <c r="N743" s="69"/>
      <c r="O743" s="69"/>
    </row>
    <row r="744" spans="1:1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118"/>
      <c r="N744" s="69"/>
      <c r="O744" s="69"/>
    </row>
    <row r="745" spans="1:1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118"/>
      <c r="N745" s="69"/>
      <c r="O745" s="69"/>
    </row>
    <row r="746" spans="1:1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118"/>
      <c r="N746" s="69"/>
      <c r="O746" s="69"/>
    </row>
    <row r="747" spans="1:1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118"/>
      <c r="N747" s="69"/>
      <c r="O747" s="69"/>
    </row>
    <row r="748" spans="1:1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118"/>
      <c r="N748" s="69"/>
      <c r="O748" s="69"/>
    </row>
    <row r="749" spans="1:1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118"/>
      <c r="N749" s="69"/>
      <c r="O749" s="69"/>
    </row>
    <row r="750" spans="1:1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118"/>
      <c r="N750" s="69"/>
      <c r="O750" s="69"/>
    </row>
    <row r="751" spans="1:1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118"/>
      <c r="N751" s="69"/>
      <c r="O751" s="69"/>
    </row>
    <row r="752" spans="1:1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118"/>
      <c r="N752" s="69"/>
      <c r="O752" s="69"/>
    </row>
    <row r="753" spans="1:1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118"/>
      <c r="N753" s="69"/>
      <c r="O753" s="69"/>
    </row>
    <row r="754" spans="1:1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118"/>
      <c r="N754" s="69"/>
      <c r="O754" s="69"/>
    </row>
    <row r="755" spans="1:1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118"/>
      <c r="N755" s="69"/>
      <c r="O755" s="69"/>
    </row>
    <row r="756" spans="1:1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118"/>
      <c r="N756" s="69"/>
      <c r="O756" s="69"/>
    </row>
    <row r="757" spans="1:1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118"/>
      <c r="N757" s="69"/>
      <c r="O757" s="69"/>
    </row>
    <row r="758" spans="1:1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118"/>
      <c r="N758" s="69"/>
      <c r="O758" s="69"/>
    </row>
    <row r="759" spans="1:1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118"/>
      <c r="N759" s="69"/>
      <c r="O759" s="69"/>
    </row>
    <row r="760" spans="1:1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118"/>
      <c r="N760" s="69"/>
      <c r="O760" s="69"/>
    </row>
    <row r="761" spans="1:1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118"/>
      <c r="N761" s="69"/>
      <c r="O761" s="69"/>
    </row>
    <row r="762" spans="1:1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118"/>
      <c r="N762" s="69"/>
      <c r="O762" s="69"/>
    </row>
    <row r="763" spans="1:1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118"/>
      <c r="N763" s="69"/>
      <c r="O763" s="69"/>
    </row>
    <row r="764" spans="1:1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118"/>
      <c r="N764" s="69"/>
      <c r="O764" s="69"/>
    </row>
    <row r="765" spans="1:1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118"/>
      <c r="N765" s="69"/>
      <c r="O765" s="69"/>
    </row>
    <row r="766" spans="1:1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118"/>
      <c r="N766" s="69"/>
      <c r="O766" s="69"/>
    </row>
    <row r="767" spans="1:1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118"/>
      <c r="N767" s="69"/>
      <c r="O767" s="69"/>
    </row>
    <row r="768" spans="1:1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118"/>
      <c r="N768" s="69"/>
      <c r="O768" s="69"/>
    </row>
    <row r="769" spans="1:1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118"/>
      <c r="N769" s="69"/>
      <c r="O769" s="69"/>
    </row>
    <row r="770" spans="1:1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118"/>
      <c r="N770" s="69"/>
      <c r="O770" s="69"/>
    </row>
    <row r="771" spans="1:1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118"/>
      <c r="N771" s="69"/>
      <c r="O771" s="69"/>
    </row>
    <row r="772" spans="1:1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118"/>
      <c r="N772" s="69"/>
      <c r="O772" s="69"/>
    </row>
    <row r="773" spans="1:1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118"/>
      <c r="N773" s="69"/>
      <c r="O773" s="69"/>
    </row>
    <row r="774" spans="1:1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118"/>
      <c r="N774" s="69"/>
      <c r="O774" s="69"/>
    </row>
    <row r="775" spans="1:1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118"/>
      <c r="N775" s="69"/>
      <c r="O775" s="69"/>
    </row>
    <row r="776" spans="1:1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118"/>
      <c r="N776" s="69"/>
      <c r="O776" s="69"/>
    </row>
    <row r="777" spans="1:1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118"/>
      <c r="N777" s="69"/>
      <c r="O777" s="69"/>
    </row>
    <row r="778" spans="1:1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118"/>
      <c r="N778" s="69"/>
      <c r="O778" s="69"/>
    </row>
    <row r="779" spans="1:1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118"/>
      <c r="N779" s="69"/>
      <c r="O779" s="69"/>
    </row>
    <row r="780" spans="1:1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118"/>
      <c r="N780" s="69"/>
      <c r="O780" s="69"/>
    </row>
    <row r="781" spans="1:1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118"/>
      <c r="N781" s="69"/>
      <c r="O781" s="69"/>
    </row>
    <row r="782" spans="1:1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118"/>
      <c r="N782" s="69"/>
      <c r="O782" s="69"/>
    </row>
    <row r="783" spans="1:1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118"/>
      <c r="N783" s="69"/>
      <c r="O783" s="69"/>
    </row>
    <row r="784" spans="1:1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118"/>
      <c r="N784" s="69"/>
      <c r="O784" s="69"/>
    </row>
    <row r="785" spans="1:1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118"/>
      <c r="N785" s="69"/>
      <c r="O785" s="69"/>
    </row>
    <row r="786" spans="1:1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118"/>
      <c r="N786" s="69"/>
      <c r="O786" s="69"/>
    </row>
    <row r="787" spans="1:1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118"/>
      <c r="N787" s="69"/>
      <c r="O787" s="69"/>
    </row>
    <row r="788" spans="1:1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118"/>
      <c r="N788" s="69"/>
      <c r="O788" s="69"/>
    </row>
    <row r="789" spans="1:1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118"/>
      <c r="N789" s="69"/>
      <c r="O789" s="69"/>
    </row>
    <row r="790" spans="1:1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118"/>
      <c r="N790" s="69"/>
      <c r="O790" s="69"/>
    </row>
    <row r="791" spans="1:1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118"/>
      <c r="N791" s="69"/>
      <c r="O791" s="69"/>
    </row>
    <row r="792" spans="1:1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118"/>
      <c r="N792" s="69"/>
      <c r="O792" s="69"/>
    </row>
    <row r="793" spans="1:1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118"/>
      <c r="N793" s="69"/>
      <c r="O793" s="69"/>
    </row>
    <row r="794" spans="1:1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118"/>
      <c r="N794" s="69"/>
      <c r="O794" s="69"/>
    </row>
    <row r="795" spans="1:1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118"/>
      <c r="N795" s="69"/>
      <c r="O795" s="69"/>
    </row>
    <row r="796" spans="1:1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118"/>
      <c r="N796" s="69"/>
      <c r="O796" s="69"/>
    </row>
    <row r="797" spans="1:1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118"/>
      <c r="N797" s="69"/>
      <c r="O797" s="69"/>
    </row>
    <row r="798" spans="1:1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118"/>
      <c r="N798" s="69"/>
      <c r="O798" s="69"/>
    </row>
    <row r="799" spans="1:1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118"/>
      <c r="N799" s="69"/>
      <c r="O799" s="69"/>
    </row>
    <row r="800" spans="1:1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118"/>
      <c r="N800" s="69"/>
      <c r="O800" s="69"/>
    </row>
    <row r="801" spans="1:1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118"/>
      <c r="N801" s="69"/>
      <c r="O801" s="69"/>
    </row>
    <row r="802" spans="1:1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118"/>
      <c r="N802" s="69"/>
      <c r="O802" s="69"/>
    </row>
    <row r="803" spans="1:1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118"/>
      <c r="N803" s="69"/>
      <c r="O803" s="69"/>
    </row>
    <row r="804" spans="1:1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118"/>
      <c r="N804" s="69"/>
      <c r="O804" s="69"/>
    </row>
    <row r="805" spans="1:1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118"/>
      <c r="N805" s="69"/>
      <c r="O805" s="69"/>
    </row>
    <row r="806" spans="1:1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118"/>
      <c r="N806" s="69"/>
      <c r="O806" s="69"/>
    </row>
    <row r="807" spans="1:1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118"/>
      <c r="N807" s="69"/>
      <c r="O807" s="69"/>
    </row>
    <row r="808" spans="1:1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118"/>
      <c r="N808" s="69"/>
      <c r="O808" s="69"/>
    </row>
    <row r="809" spans="1:1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118"/>
      <c r="N809" s="69"/>
      <c r="O809" s="69"/>
    </row>
    <row r="810" spans="1:1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118"/>
      <c r="N810" s="69"/>
      <c r="O810" s="69"/>
    </row>
    <row r="811" spans="1:1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118"/>
      <c r="N811" s="69"/>
      <c r="O811" s="69"/>
    </row>
    <row r="812" spans="1:1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118"/>
      <c r="N812" s="69"/>
      <c r="O812" s="69"/>
    </row>
    <row r="813" spans="1:1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118"/>
      <c r="N813" s="69"/>
      <c r="O813" s="69"/>
    </row>
    <row r="814" spans="1:1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118"/>
      <c r="N814" s="69"/>
      <c r="O814" s="69"/>
    </row>
    <row r="815" spans="1: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118"/>
      <c r="N815" s="69"/>
      <c r="O815" s="69"/>
    </row>
    <row r="816" spans="1:1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118"/>
      <c r="N816" s="69"/>
      <c r="O816" s="69"/>
    </row>
    <row r="817" spans="1:1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118"/>
      <c r="N817" s="69"/>
      <c r="O817" s="69"/>
    </row>
    <row r="818" spans="1:1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118"/>
      <c r="N818" s="69"/>
      <c r="O818" s="69"/>
    </row>
    <row r="819" spans="1:1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118"/>
      <c r="N819" s="69"/>
      <c r="O819" s="69"/>
    </row>
    <row r="820" spans="1:1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118"/>
      <c r="N820" s="69"/>
      <c r="O820" s="69"/>
    </row>
    <row r="821" spans="1:1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118"/>
      <c r="N821" s="69"/>
      <c r="O821" s="69"/>
    </row>
    <row r="822" spans="1:1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118"/>
      <c r="N822" s="69"/>
      <c r="O822" s="69"/>
    </row>
    <row r="823" spans="1:1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118"/>
      <c r="N823" s="69"/>
      <c r="O823" s="69"/>
    </row>
    <row r="824" spans="1:1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118"/>
      <c r="N824" s="69"/>
      <c r="O824" s="69"/>
    </row>
    <row r="825" spans="1:1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118"/>
      <c r="N825" s="69"/>
      <c r="O825" s="69"/>
    </row>
    <row r="826" spans="1:1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118"/>
      <c r="N826" s="69"/>
      <c r="O826" s="69"/>
    </row>
    <row r="827" spans="1:1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118"/>
      <c r="N827" s="69"/>
      <c r="O827" s="69"/>
    </row>
    <row r="828" spans="1:1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118"/>
      <c r="N828" s="69"/>
      <c r="O828" s="69"/>
    </row>
    <row r="829" spans="1:1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118"/>
      <c r="N829" s="69"/>
      <c r="O829" s="69"/>
    </row>
    <row r="830" spans="1:1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118"/>
      <c r="N830" s="69"/>
      <c r="O830" s="69"/>
    </row>
    <row r="831" spans="1:1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118"/>
      <c r="N831" s="69"/>
      <c r="O831" s="69"/>
    </row>
    <row r="832" spans="1:1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118"/>
      <c r="N832" s="69"/>
      <c r="O832" s="69"/>
    </row>
    <row r="833" spans="1:1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118"/>
      <c r="N833" s="69"/>
      <c r="O833" s="69"/>
    </row>
    <row r="834" spans="1:1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118"/>
      <c r="N834" s="69"/>
      <c r="O834" s="69"/>
    </row>
    <row r="835" spans="1:1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118"/>
      <c r="N835" s="69"/>
      <c r="O835" s="69"/>
    </row>
    <row r="836" spans="1:1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118"/>
      <c r="N836" s="69"/>
      <c r="O836" s="69"/>
    </row>
    <row r="837" spans="1:1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118"/>
      <c r="N837" s="69"/>
      <c r="O837" s="69"/>
    </row>
    <row r="838" spans="1:1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118"/>
      <c r="N838" s="69"/>
      <c r="O838" s="69"/>
    </row>
    <row r="839" spans="1:1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118"/>
      <c r="N839" s="69"/>
      <c r="O839" s="69"/>
    </row>
    <row r="840" spans="1:1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118"/>
      <c r="N840" s="69"/>
      <c r="O840" s="69"/>
    </row>
    <row r="841" spans="1:1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118"/>
      <c r="N841" s="69"/>
      <c r="O841" s="69"/>
    </row>
    <row r="842" spans="1:1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118"/>
      <c r="N842" s="69"/>
      <c r="O842" s="69"/>
    </row>
    <row r="843" spans="1:1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118"/>
      <c r="N843" s="69"/>
      <c r="O843" s="69"/>
    </row>
    <row r="844" spans="1:1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118"/>
      <c r="N844" s="69"/>
      <c r="O844" s="69"/>
    </row>
    <row r="845" spans="1:1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118"/>
      <c r="N845" s="69"/>
      <c r="O845" s="69"/>
    </row>
    <row r="846" spans="1:1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118"/>
      <c r="N846" s="69"/>
      <c r="O846" s="69"/>
    </row>
    <row r="847" spans="1:1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118"/>
      <c r="N847" s="69"/>
      <c r="O847" s="69"/>
    </row>
    <row r="848" spans="1:1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118"/>
      <c r="N848" s="69"/>
      <c r="O848" s="69"/>
    </row>
    <row r="849" spans="1:1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118"/>
      <c r="N849" s="69"/>
      <c r="O849" s="69"/>
    </row>
    <row r="850" spans="1:1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118"/>
      <c r="N850" s="69"/>
      <c r="O850" s="69"/>
    </row>
    <row r="851" spans="1:1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118"/>
      <c r="N851" s="69"/>
      <c r="O851" s="69"/>
    </row>
    <row r="852" spans="1:1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118"/>
      <c r="N852" s="69"/>
      <c r="O852" s="69"/>
    </row>
    <row r="853" spans="1:1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118"/>
      <c r="N853" s="69"/>
      <c r="O853" s="69"/>
    </row>
    <row r="854" spans="1:1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118"/>
      <c r="N854" s="69"/>
      <c r="O854" s="69"/>
    </row>
    <row r="855" spans="1:1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118"/>
      <c r="N855" s="69"/>
      <c r="O855" s="69"/>
    </row>
    <row r="856" spans="1:1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118"/>
      <c r="N856" s="69"/>
      <c r="O856" s="69"/>
    </row>
    <row r="857" spans="1:1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118"/>
      <c r="N857" s="69"/>
      <c r="O857" s="69"/>
    </row>
    <row r="858" spans="1:1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118"/>
      <c r="N858" s="69"/>
      <c r="O858" s="69"/>
    </row>
    <row r="859" spans="1:1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118"/>
      <c r="N859" s="69"/>
      <c r="O859" s="69"/>
    </row>
    <row r="860" spans="1:1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118"/>
      <c r="N860" s="69"/>
      <c r="O860" s="69"/>
    </row>
    <row r="861" spans="1:1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118"/>
      <c r="N861" s="69"/>
      <c r="O861" s="69"/>
    </row>
    <row r="862" spans="1:1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118"/>
      <c r="N862" s="69"/>
      <c r="O862" s="69"/>
    </row>
    <row r="863" spans="1:1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118"/>
      <c r="N863" s="69"/>
      <c r="O863" s="69"/>
    </row>
    <row r="864" spans="1:1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118"/>
      <c r="N864" s="69"/>
      <c r="O864" s="69"/>
    </row>
    <row r="865" spans="1:1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118"/>
      <c r="N865" s="69"/>
      <c r="O865" s="69"/>
    </row>
    <row r="866" spans="1:1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118"/>
      <c r="N866" s="69"/>
      <c r="O866" s="69"/>
    </row>
    <row r="867" spans="1:1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118"/>
      <c r="N867" s="69"/>
      <c r="O867" s="69"/>
    </row>
    <row r="868" spans="1:1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118"/>
      <c r="N868" s="69"/>
      <c r="O868" s="69"/>
    </row>
    <row r="869" spans="1:1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118"/>
      <c r="N869" s="69"/>
      <c r="O869" s="69"/>
    </row>
    <row r="870" spans="1:1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118"/>
      <c r="N870" s="69"/>
      <c r="O870" s="69"/>
    </row>
    <row r="871" spans="1:1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118"/>
      <c r="N871" s="69"/>
      <c r="O871" s="69"/>
    </row>
    <row r="872" spans="1:1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118"/>
      <c r="N872" s="69"/>
      <c r="O872" s="69"/>
    </row>
    <row r="873" spans="1:1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118"/>
      <c r="N873" s="69"/>
      <c r="O873" s="69"/>
    </row>
    <row r="874" spans="1:1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118"/>
      <c r="N874" s="69"/>
      <c r="O874" s="69"/>
    </row>
    <row r="875" spans="1:1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118"/>
      <c r="N875" s="69"/>
      <c r="O875" s="69"/>
    </row>
    <row r="876" spans="1:1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118"/>
      <c r="N876" s="69"/>
      <c r="O876" s="69"/>
    </row>
    <row r="877" spans="1:1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118"/>
      <c r="N877" s="69"/>
      <c r="O877" s="69"/>
    </row>
    <row r="878" spans="1:1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118"/>
      <c r="N878" s="69"/>
      <c r="O878" s="69"/>
    </row>
    <row r="879" spans="1:1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118"/>
      <c r="N879" s="69"/>
      <c r="O879" s="69"/>
    </row>
    <row r="880" spans="1:1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118"/>
      <c r="N880" s="69"/>
      <c r="O880" s="69"/>
    </row>
    <row r="881" spans="1:1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118"/>
      <c r="N881" s="69"/>
      <c r="O881" s="69"/>
    </row>
    <row r="882" spans="1:1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118"/>
      <c r="N882" s="69"/>
      <c r="O882" s="69"/>
    </row>
    <row r="883" spans="1:1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118"/>
      <c r="N883" s="69"/>
      <c r="O883" s="69"/>
    </row>
    <row r="884" spans="1:1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118"/>
      <c r="N884" s="69"/>
      <c r="O884" s="69"/>
    </row>
    <row r="885" spans="1:1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118"/>
      <c r="N885" s="69"/>
      <c r="O885" s="69"/>
    </row>
    <row r="886" spans="1:1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118"/>
      <c r="N886" s="69"/>
      <c r="O886" s="69"/>
    </row>
    <row r="887" spans="1:1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118"/>
      <c r="N887" s="69"/>
      <c r="O887" s="69"/>
    </row>
    <row r="888" spans="1:1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118"/>
      <c r="N888" s="69"/>
      <c r="O888" s="69"/>
    </row>
    <row r="889" spans="1:1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118"/>
      <c r="N889" s="69"/>
      <c r="O889" s="69"/>
    </row>
    <row r="890" spans="1:1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118"/>
      <c r="N890" s="69"/>
      <c r="O890" s="69"/>
    </row>
    <row r="891" spans="1:1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118"/>
      <c r="N891" s="69"/>
      <c r="O891" s="69"/>
    </row>
    <row r="892" spans="1:1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118"/>
      <c r="N892" s="69"/>
      <c r="O892" s="69"/>
    </row>
    <row r="893" spans="1:1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118"/>
      <c r="N893" s="69"/>
      <c r="O893" s="69"/>
    </row>
    <row r="894" spans="1:1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118"/>
      <c r="N894" s="69"/>
      <c r="O894" s="69"/>
    </row>
    <row r="895" spans="1:1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118"/>
      <c r="N895" s="69"/>
      <c r="O895" s="69"/>
    </row>
    <row r="896" spans="1:1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118"/>
      <c r="N896" s="69"/>
      <c r="O896" s="69"/>
    </row>
    <row r="897" spans="1:1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118"/>
      <c r="N897" s="69"/>
      <c r="O897" s="69"/>
    </row>
    <row r="898" spans="1:1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118"/>
      <c r="N898" s="69"/>
      <c r="O898" s="69"/>
    </row>
    <row r="899" spans="1:1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118"/>
      <c r="N899" s="69"/>
      <c r="O899" s="69"/>
    </row>
    <row r="900" spans="1:1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118"/>
      <c r="N900" s="69"/>
      <c r="O900" s="69"/>
    </row>
    <row r="901" spans="1:1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118"/>
      <c r="N901" s="69"/>
      <c r="O901" s="69"/>
    </row>
    <row r="902" spans="1:1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118"/>
      <c r="N902" s="69"/>
      <c r="O902" s="69"/>
    </row>
    <row r="903" spans="1:1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118"/>
      <c r="N903" s="69"/>
      <c r="O903" s="69"/>
    </row>
    <row r="904" spans="1:1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118"/>
      <c r="N904" s="69"/>
      <c r="O904" s="69"/>
    </row>
    <row r="905" spans="1:1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118"/>
      <c r="N905" s="69"/>
      <c r="O905" s="69"/>
    </row>
    <row r="906" spans="1:1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118"/>
      <c r="N906" s="69"/>
      <c r="O906" s="69"/>
    </row>
    <row r="907" spans="1:1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118"/>
      <c r="N907" s="69"/>
      <c r="O907" s="69"/>
    </row>
    <row r="908" spans="1:1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118"/>
      <c r="N908" s="69"/>
      <c r="O908" s="69"/>
    </row>
    <row r="909" spans="1:1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118"/>
      <c r="N909" s="69"/>
      <c r="O909" s="69"/>
    </row>
    <row r="910" spans="1:1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118"/>
      <c r="N910" s="69"/>
      <c r="O910" s="69"/>
    </row>
    <row r="911" spans="1:1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118"/>
      <c r="N911" s="69"/>
      <c r="O911" s="69"/>
    </row>
    <row r="912" spans="1:1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118"/>
      <c r="N912" s="69"/>
      <c r="O912" s="69"/>
    </row>
    <row r="913" spans="1:1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118"/>
      <c r="N913" s="69"/>
      <c r="O913" s="69"/>
    </row>
    <row r="914" spans="1:1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118"/>
      <c r="N914" s="69"/>
      <c r="O914" s="69"/>
    </row>
    <row r="915" spans="1: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118"/>
      <c r="N915" s="69"/>
      <c r="O915" s="69"/>
    </row>
    <row r="916" spans="1:1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118"/>
      <c r="N916" s="69"/>
      <c r="O916" s="69"/>
    </row>
    <row r="917" spans="1:1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118"/>
      <c r="N917" s="69"/>
      <c r="O917" s="69"/>
    </row>
    <row r="918" spans="1:1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118"/>
      <c r="N918" s="69"/>
      <c r="O918" s="69"/>
    </row>
    <row r="919" spans="1:1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118"/>
      <c r="N919" s="69"/>
      <c r="O919" s="69"/>
    </row>
    <row r="920" spans="1:1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118"/>
      <c r="N920" s="69"/>
      <c r="O920" s="69"/>
    </row>
    <row r="921" spans="1:1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118"/>
      <c r="N921" s="69"/>
      <c r="O921" s="69"/>
    </row>
    <row r="922" spans="1:1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118"/>
      <c r="N922" s="69"/>
      <c r="O922" s="69"/>
    </row>
    <row r="923" spans="1:1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118"/>
      <c r="N923" s="69"/>
      <c r="O923" s="69"/>
    </row>
    <row r="924" spans="1:1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118"/>
      <c r="N924" s="69"/>
      <c r="O924" s="69"/>
    </row>
    <row r="925" spans="1:1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118"/>
      <c r="N925" s="69"/>
      <c r="O925" s="69"/>
    </row>
    <row r="926" spans="1:1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118"/>
      <c r="N926" s="69"/>
      <c r="O926" s="69"/>
    </row>
    <row r="927" spans="1:1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118"/>
      <c r="N927" s="69"/>
      <c r="O927" s="69"/>
    </row>
    <row r="928" spans="1:1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118"/>
      <c r="N928" s="69"/>
      <c r="O928" s="69"/>
    </row>
    <row r="929" spans="1:1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118"/>
      <c r="N929" s="69"/>
      <c r="O929" s="69"/>
    </row>
    <row r="930" spans="1:1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118"/>
      <c r="N930" s="69"/>
      <c r="O930" s="69"/>
    </row>
    <row r="931" spans="1:1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118"/>
      <c r="N931" s="69"/>
      <c r="O931" s="69"/>
    </row>
    <row r="932" spans="1:1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118"/>
      <c r="N932" s="69"/>
      <c r="O932" s="69"/>
    </row>
    <row r="933" spans="1:1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118"/>
      <c r="N933" s="69"/>
      <c r="O933" s="69"/>
    </row>
    <row r="934" spans="1:1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118"/>
      <c r="N934" s="69"/>
      <c r="O934" s="69"/>
    </row>
    <row r="935" spans="1:1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118"/>
      <c r="N935" s="69"/>
      <c r="O935" s="69"/>
    </row>
    <row r="936" spans="1:1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118"/>
      <c r="N936" s="69"/>
      <c r="O936" s="69"/>
    </row>
    <row r="937" spans="1:1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118"/>
      <c r="N937" s="69"/>
      <c r="O937" s="69"/>
    </row>
    <row r="938" spans="1:1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118"/>
      <c r="N938" s="69"/>
      <c r="O938" s="69"/>
    </row>
    <row r="939" spans="1:1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118"/>
      <c r="N939" s="69"/>
      <c r="O939" s="69"/>
    </row>
    <row r="940" spans="1:1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118"/>
      <c r="N940" s="69"/>
      <c r="O940" s="69"/>
    </row>
    <row r="941" spans="1:1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118"/>
      <c r="N941" s="69"/>
      <c r="O941" s="69"/>
    </row>
    <row r="942" spans="1:1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118"/>
      <c r="N942" s="69"/>
      <c r="O942" s="69"/>
    </row>
    <row r="943" spans="1:1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118"/>
      <c r="N943" s="69"/>
      <c r="O943" s="69"/>
    </row>
    <row r="944" spans="1:1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118"/>
      <c r="N944" s="69"/>
      <c r="O944" s="69"/>
    </row>
    <row r="945" spans="1:1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118"/>
      <c r="N945" s="69"/>
      <c r="O945" s="69"/>
    </row>
    <row r="946" spans="1:1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118"/>
      <c r="N946" s="69"/>
      <c r="O946" s="69"/>
    </row>
    <row r="947" spans="1:1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118"/>
      <c r="N947" s="69"/>
      <c r="O947" s="69"/>
    </row>
    <row r="948" spans="1:1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118"/>
      <c r="N948" s="69"/>
      <c r="O948" s="69"/>
    </row>
    <row r="949" spans="1:1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118"/>
      <c r="N949" s="69"/>
      <c r="O949" s="69"/>
    </row>
    <row r="950" spans="1:1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118"/>
      <c r="N950" s="69"/>
      <c r="O950" s="69"/>
    </row>
    <row r="951" spans="1:1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118"/>
      <c r="N951" s="69"/>
      <c r="O951" s="69"/>
    </row>
    <row r="952" spans="1:1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118"/>
      <c r="N952" s="69"/>
      <c r="O952" s="69"/>
    </row>
    <row r="953" spans="1:1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118"/>
      <c r="N953" s="69"/>
      <c r="O953" s="69"/>
    </row>
    <row r="954" spans="1:1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118"/>
      <c r="N954" s="69"/>
      <c r="O954" s="69"/>
    </row>
    <row r="955" spans="1:1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118"/>
      <c r="N955" s="69"/>
      <c r="O955" s="69"/>
    </row>
    <row r="956" spans="1:1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118"/>
      <c r="N956" s="69"/>
      <c r="O956" s="69"/>
    </row>
    <row r="957" spans="1:1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118"/>
      <c r="N957" s="69"/>
      <c r="O957" s="69"/>
    </row>
    <row r="958" spans="1:1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118"/>
      <c r="N958" s="69"/>
      <c r="O958" s="69"/>
    </row>
    <row r="959" spans="1:1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118"/>
      <c r="N959" s="69"/>
      <c r="O959" s="69"/>
    </row>
    <row r="960" spans="1:1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118"/>
      <c r="N960" s="69"/>
      <c r="O960" s="69"/>
    </row>
    <row r="961" spans="1:1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118"/>
      <c r="N961" s="69"/>
      <c r="O961" s="69"/>
    </row>
    <row r="962" spans="1:1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118"/>
      <c r="N962" s="69"/>
      <c r="O962" s="69"/>
    </row>
    <row r="963" spans="1:1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118"/>
      <c r="N963" s="69"/>
      <c r="O963" s="69"/>
    </row>
    <row r="964" spans="1:1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118"/>
      <c r="N964" s="69"/>
      <c r="O964" s="69"/>
    </row>
    <row r="965" spans="1:1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118"/>
      <c r="N965" s="69"/>
      <c r="O965" s="69"/>
    </row>
    <row r="966" spans="1:1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118"/>
      <c r="N966" s="69"/>
      <c r="O966" s="69"/>
    </row>
    <row r="967" spans="1:1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118"/>
      <c r="N967" s="69"/>
      <c r="O967" s="69"/>
    </row>
    <row r="968" spans="1:1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118"/>
      <c r="N968" s="69"/>
      <c r="O968" s="69"/>
    </row>
    <row r="969" spans="1:1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118"/>
      <c r="N969" s="69"/>
      <c r="O969" s="69"/>
    </row>
    <row r="970" spans="1:1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118"/>
      <c r="N970" s="69"/>
      <c r="O970" s="69"/>
    </row>
    <row r="971" spans="1:1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118"/>
      <c r="N971" s="69"/>
      <c r="O971" s="69"/>
    </row>
    <row r="972" spans="1:1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118"/>
      <c r="N972" s="69"/>
      <c r="O972" s="69"/>
    </row>
    <row r="973" spans="1:1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118"/>
      <c r="N973" s="69"/>
      <c r="O973" s="69"/>
    </row>
    <row r="974" spans="1:1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118"/>
      <c r="N974" s="69"/>
      <c r="O974" s="69"/>
    </row>
    <row r="975" spans="1:1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118"/>
      <c r="N975" s="69"/>
      <c r="O975" s="69"/>
    </row>
    <row r="976" spans="1:1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118"/>
      <c r="N976" s="69"/>
      <c r="O976" s="69"/>
    </row>
    <row r="977" spans="1:1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118"/>
      <c r="N977" s="69"/>
      <c r="O977" s="69"/>
    </row>
    <row r="978" spans="1:1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118"/>
      <c r="N978" s="69"/>
      <c r="O978" s="69"/>
    </row>
    <row r="979" spans="1:1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118"/>
      <c r="N979" s="69"/>
      <c r="O979" s="69"/>
    </row>
    <row r="980" spans="1:1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118"/>
      <c r="N980" s="69"/>
      <c r="O980" s="69"/>
    </row>
    <row r="981" spans="1:1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118"/>
      <c r="N981" s="69"/>
      <c r="O981" s="69"/>
    </row>
    <row r="982" spans="1:1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118"/>
      <c r="N982" s="69"/>
      <c r="O982" s="69"/>
    </row>
    <row r="983" spans="1:1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118"/>
      <c r="N983" s="69"/>
      <c r="O983" s="69"/>
    </row>
    <row r="984" spans="1:1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118"/>
      <c r="N984" s="69"/>
      <c r="O984" s="69"/>
    </row>
    <row r="985" spans="1:1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118"/>
      <c r="N985" s="69"/>
      <c r="O985" s="69"/>
    </row>
    <row r="986" spans="1:1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118"/>
      <c r="N986" s="69"/>
      <c r="O986" s="69"/>
    </row>
    <row r="987" spans="1:1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118"/>
      <c r="N987" s="69"/>
      <c r="O987" s="69"/>
    </row>
    <row r="988" spans="1:1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118"/>
      <c r="N988" s="69"/>
      <c r="O988" s="69"/>
    </row>
    <row r="989" spans="1:1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118"/>
      <c r="N989" s="69"/>
      <c r="O989" s="69"/>
    </row>
    <row r="990" spans="1:1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118"/>
      <c r="N990" s="69"/>
      <c r="O990" s="69"/>
    </row>
    <row r="991" spans="1:1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118"/>
      <c r="N991" s="69"/>
      <c r="O991" s="69"/>
    </row>
    <row r="992" spans="1:1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118"/>
      <c r="N992" s="69"/>
      <c r="O992" s="69"/>
    </row>
    <row r="993" spans="1:1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118"/>
      <c r="N993" s="69"/>
      <c r="O993" s="69"/>
    </row>
    <row r="994" spans="1:1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118"/>
      <c r="N994" s="69"/>
      <c r="O994" s="69"/>
    </row>
    <row r="995" spans="1:1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118"/>
      <c r="N995" s="69"/>
      <c r="O995" s="69"/>
    </row>
    <row r="996" spans="1:1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118"/>
      <c r="N996" s="69"/>
      <c r="O996" s="69"/>
    </row>
    <row r="997" spans="1:1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118"/>
      <c r="N997" s="69"/>
      <c r="O997" s="69"/>
    </row>
    <row r="998" spans="1:1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118"/>
      <c r="N998" s="69"/>
      <c r="O998" s="69"/>
    </row>
    <row r="999" spans="1:1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118"/>
      <c r="N999" s="69"/>
      <c r="O999" s="69"/>
    </row>
    <row r="1000" spans="1:1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118"/>
      <c r="N1000" s="69"/>
      <c r="O1000" s="69"/>
    </row>
    <row r="1001" spans="1:15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118"/>
      <c r="N1001" s="69"/>
      <c r="O1001" s="69"/>
    </row>
    <row r="1002" spans="1:15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118"/>
      <c r="N1002" s="69"/>
      <c r="O1002" s="69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A86E8"/>
    <outlinePr summaryBelow="0" summaryRight="0"/>
  </sheetPr>
  <dimension ref="A1:AA924"/>
  <sheetViews>
    <sheetView workbookViewId="0"/>
  </sheetViews>
  <sheetFormatPr defaultColWidth="14.42578125" defaultRowHeight="15" customHeight="1"/>
  <cols>
    <col min="1" max="1" width="11.85546875" style="259" customWidth="1"/>
    <col min="2" max="2" width="16.5703125" style="259" customWidth="1"/>
    <col min="3" max="3" width="22.42578125" style="259" customWidth="1"/>
    <col min="4" max="4" width="36" style="259" customWidth="1"/>
    <col min="5" max="5" width="27.7109375" style="259" customWidth="1"/>
    <col min="6" max="6" width="28.140625" style="259" customWidth="1"/>
    <col min="7" max="7" width="35.85546875" style="259" customWidth="1"/>
    <col min="8" max="8" width="34.42578125" style="259" customWidth="1"/>
    <col min="10" max="10" width="7.28515625" style="259" customWidth="1"/>
    <col min="11" max="11" width="25.28515625" style="259" customWidth="1"/>
    <col min="12" max="12" width="26.28515625" style="259" customWidth="1"/>
    <col min="13" max="13" width="17.7109375" style="259" customWidth="1"/>
    <col min="14" max="14" width="14.7109375" style="259" customWidth="1"/>
  </cols>
  <sheetData>
    <row r="1" spans="1:27">
      <c r="A1" s="139" t="s">
        <v>1301</v>
      </c>
      <c r="B1" s="139"/>
      <c r="C1" s="139"/>
      <c r="D1" s="139"/>
      <c r="E1" s="140"/>
      <c r="F1" s="139"/>
      <c r="G1" s="139"/>
      <c r="H1" s="139"/>
      <c r="I1" s="139"/>
      <c r="J1" s="289"/>
      <c r="K1" s="40"/>
      <c r="L1" s="40"/>
    </row>
    <row r="2" spans="1:27">
      <c r="A2" s="141" t="s">
        <v>1116</v>
      </c>
      <c r="B2" s="142" t="s">
        <v>1117</v>
      </c>
      <c r="C2" s="143" t="s">
        <v>1118</v>
      </c>
      <c r="D2" s="143" t="s">
        <v>1119</v>
      </c>
      <c r="E2" s="144" t="s">
        <v>1120</v>
      </c>
      <c r="F2" s="143" t="s">
        <v>1121</v>
      </c>
      <c r="G2" s="143" t="s">
        <v>1122</v>
      </c>
      <c r="H2" s="143" t="s">
        <v>1123</v>
      </c>
      <c r="I2" s="143" t="s">
        <v>1207</v>
      </c>
      <c r="J2" s="289"/>
      <c r="K2" s="40"/>
      <c r="L2" s="40"/>
    </row>
    <row r="3" spans="1:27">
      <c r="A3" s="153"/>
      <c r="B3" s="121" t="s">
        <v>1302</v>
      </c>
      <c r="C3" s="145" t="s">
        <v>203</v>
      </c>
      <c r="D3" s="136" t="s">
        <v>1061</v>
      </c>
      <c r="E3" s="154"/>
      <c r="F3" s="136"/>
      <c r="G3" s="136"/>
      <c r="H3" s="136" t="s">
        <v>1497</v>
      </c>
      <c r="I3" s="136"/>
      <c r="J3" s="289"/>
      <c r="K3" s="40"/>
      <c r="L3" s="40"/>
    </row>
    <row r="4" spans="1:27">
      <c r="A4" s="153"/>
      <c r="B4" s="121" t="s">
        <v>1302</v>
      </c>
      <c r="C4" s="121" t="s">
        <v>70</v>
      </c>
      <c r="D4" s="136" t="s">
        <v>1063</v>
      </c>
      <c r="E4" s="154"/>
      <c r="F4" s="136" t="s">
        <v>1498</v>
      </c>
      <c r="G4" s="136" t="s">
        <v>1499</v>
      </c>
      <c r="H4" s="122"/>
      <c r="I4" s="136"/>
      <c r="J4" s="289"/>
      <c r="K4" s="40"/>
      <c r="L4" s="40"/>
    </row>
    <row r="5" spans="1:27" ht="36.75" customHeight="1">
      <c r="A5" s="153"/>
      <c r="B5" s="121" t="s">
        <v>1302</v>
      </c>
      <c r="C5" s="146" t="s">
        <v>75</v>
      </c>
      <c r="D5" s="136" t="s">
        <v>1212</v>
      </c>
      <c r="E5" s="154"/>
      <c r="F5" s="136" t="s">
        <v>1498</v>
      </c>
      <c r="G5" s="136" t="s">
        <v>1500</v>
      </c>
      <c r="H5" s="136"/>
      <c r="I5" s="136"/>
      <c r="J5" s="289"/>
      <c r="K5" s="40"/>
      <c r="L5" s="40"/>
    </row>
    <row r="6" spans="1:27" ht="36.75" customHeight="1">
      <c r="A6" s="153"/>
      <c r="B6" s="121" t="s">
        <v>1302</v>
      </c>
      <c r="C6" s="146" t="s">
        <v>208</v>
      </c>
      <c r="D6" s="136" t="s">
        <v>1501</v>
      </c>
      <c r="E6" s="154"/>
      <c r="F6" s="136" t="s">
        <v>1498</v>
      </c>
      <c r="G6" s="136" t="s">
        <v>1502</v>
      </c>
      <c r="H6" s="136"/>
      <c r="I6" s="136"/>
      <c r="J6" s="289"/>
      <c r="K6" s="40"/>
      <c r="L6" s="40"/>
    </row>
    <row r="7" spans="1:27" ht="36.75" customHeight="1">
      <c r="A7" s="147"/>
      <c r="B7" s="231" t="s">
        <v>1302</v>
      </c>
      <c r="C7" s="46" t="s">
        <v>213</v>
      </c>
      <c r="D7" s="157" t="s">
        <v>1320</v>
      </c>
      <c r="E7" s="148"/>
      <c r="F7" s="157" t="s">
        <v>1503</v>
      </c>
      <c r="G7" s="157" t="s">
        <v>1504</v>
      </c>
      <c r="H7" s="157"/>
      <c r="I7" s="157"/>
      <c r="J7" s="149"/>
      <c r="K7" s="150"/>
      <c r="L7" s="150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 ht="64.5" customHeight="1">
      <c r="A8" s="153"/>
      <c r="B8" s="121" t="s">
        <v>1302</v>
      </c>
      <c r="C8" s="258" t="s">
        <v>213</v>
      </c>
      <c r="D8" s="136" t="s">
        <v>1505</v>
      </c>
      <c r="E8" s="154"/>
      <c r="F8" s="136" t="s">
        <v>1185</v>
      </c>
      <c r="G8" s="136" t="s">
        <v>1506</v>
      </c>
      <c r="H8" s="154" t="s">
        <v>1507</v>
      </c>
      <c r="I8" s="136"/>
      <c r="J8" s="289"/>
      <c r="K8" s="40"/>
      <c r="L8" s="40"/>
    </row>
    <row r="9" spans="1:27" ht="36.75" customHeight="1">
      <c r="A9" s="153"/>
      <c r="B9" s="121" t="s">
        <v>1302</v>
      </c>
      <c r="C9" s="121" t="s">
        <v>1508</v>
      </c>
      <c r="D9" s="136" t="s">
        <v>1323</v>
      </c>
      <c r="E9" s="154"/>
      <c r="F9" s="136" t="s">
        <v>1503</v>
      </c>
      <c r="G9" s="136" t="s">
        <v>1509</v>
      </c>
      <c r="H9" s="136"/>
      <c r="I9" s="136"/>
      <c r="J9" s="289"/>
      <c r="K9" s="40"/>
      <c r="L9" s="40"/>
    </row>
    <row r="10" spans="1:27">
      <c r="A10" s="153"/>
      <c r="B10" s="121" t="s">
        <v>1302</v>
      </c>
      <c r="C10" s="31" t="s">
        <v>108</v>
      </c>
      <c r="D10" s="136" t="s">
        <v>1510</v>
      </c>
      <c r="E10" s="154"/>
      <c r="F10" s="136" t="s">
        <v>1503</v>
      </c>
      <c r="G10" s="136" t="s">
        <v>1511</v>
      </c>
      <c r="H10" s="136"/>
      <c r="I10" s="136"/>
      <c r="J10" s="289"/>
      <c r="K10" s="40"/>
      <c r="L10" s="40"/>
    </row>
    <row r="11" spans="1:27">
      <c r="A11" s="153"/>
      <c r="B11" s="121" t="s">
        <v>1302</v>
      </c>
      <c r="C11" s="145" t="s">
        <v>223</v>
      </c>
      <c r="D11" s="136" t="s">
        <v>1512</v>
      </c>
      <c r="E11" s="154"/>
      <c r="F11" s="136" t="s">
        <v>1185</v>
      </c>
      <c r="G11" s="136" t="s">
        <v>1513</v>
      </c>
      <c r="H11" s="154" t="s">
        <v>1514</v>
      </c>
      <c r="I11" s="136"/>
      <c r="J11" s="289"/>
      <c r="K11" s="40"/>
      <c r="L11" s="40"/>
    </row>
    <row r="12" spans="1:27">
      <c r="A12" s="289"/>
      <c r="B12" s="289"/>
      <c r="C12" s="289"/>
      <c r="D12" s="289"/>
      <c r="E12" s="40"/>
      <c r="F12" s="289"/>
      <c r="G12" s="289"/>
      <c r="H12" s="289"/>
      <c r="I12" s="289"/>
      <c r="J12" s="289"/>
      <c r="K12" s="40"/>
      <c r="L12" s="40"/>
    </row>
    <row r="13" spans="1:27">
      <c r="A13" s="139" t="s">
        <v>1058</v>
      </c>
      <c r="B13" s="139" t="s">
        <v>1059</v>
      </c>
      <c r="C13" s="139" t="s">
        <v>1065</v>
      </c>
      <c r="D13" s="139" t="s">
        <v>1066</v>
      </c>
      <c r="E13" s="140" t="s">
        <v>1067</v>
      </c>
      <c r="F13" s="139" t="s">
        <v>1068</v>
      </c>
      <c r="G13" s="139" t="s">
        <v>1069</v>
      </c>
      <c r="H13" s="139" t="s">
        <v>1070</v>
      </c>
      <c r="I13" s="139" t="s">
        <v>1071</v>
      </c>
      <c r="J13" s="139" t="s">
        <v>1072</v>
      </c>
      <c r="K13" s="140" t="s">
        <v>1073</v>
      </c>
      <c r="L13" s="140" t="s">
        <v>1454</v>
      </c>
      <c r="M13" s="292"/>
      <c r="N13" s="292"/>
    </row>
    <row r="14" spans="1:27">
      <c r="A14" s="151"/>
      <c r="B14" s="151"/>
      <c r="C14" s="136"/>
      <c r="D14" s="136"/>
      <c r="E14" s="154" t="s">
        <v>64</v>
      </c>
      <c r="F14" s="127" t="s">
        <v>764</v>
      </c>
      <c r="G14" s="145" t="s">
        <v>65</v>
      </c>
      <c r="H14" s="293" t="s">
        <v>246</v>
      </c>
      <c r="I14" s="136" t="s">
        <v>519</v>
      </c>
      <c r="J14" s="136"/>
      <c r="K14" s="152" t="s">
        <v>1075</v>
      </c>
      <c r="L14" s="84" t="s">
        <v>1458</v>
      </c>
      <c r="M14" s="164"/>
      <c r="N14" s="292"/>
      <c r="O14" s="13" t="str">
        <f>"COMMENT ON COLUMN PG_GOLD."&amp;G14&amp;"."&amp;H14&amp;" IS '"&amp;K14&amp;"';"</f>
        <v>COMMENT ON COLUMN PG_GOLD.INTF_LOAN_AR.CDR_DT IS 'Ngày dữ liệu';</v>
      </c>
    </row>
    <row r="15" spans="1:27">
      <c r="A15" s="151" t="s">
        <v>1302</v>
      </c>
      <c r="B15" s="145" t="s">
        <v>203</v>
      </c>
      <c r="C15" s="292" t="s">
        <v>1082</v>
      </c>
      <c r="D15" s="136" t="s">
        <v>1128</v>
      </c>
      <c r="E15" s="154" t="s">
        <v>64</v>
      </c>
      <c r="F15" s="127" t="s">
        <v>928</v>
      </c>
      <c r="G15" s="145" t="s">
        <v>65</v>
      </c>
      <c r="H15" s="292" t="s">
        <v>1082</v>
      </c>
      <c r="I15" s="136" t="s">
        <v>1327</v>
      </c>
      <c r="J15" s="153">
        <v>40</v>
      </c>
      <c r="K15" s="152" t="s">
        <v>1084</v>
      </c>
      <c r="L15" s="152" t="s">
        <v>1463</v>
      </c>
      <c r="M15" s="136" t="s">
        <v>625</v>
      </c>
      <c r="N15" s="126"/>
      <c r="O15" s="13" t="str">
        <f>"COMMENT ON COLUMN PG_GOLD."&amp;G15&amp;"."&amp;H15&amp;" IS '"&amp;K15&amp;"';"</f>
        <v>COMMENT ON COLUMN PG_GOLD.INTF_LOAN_AR.AR_CODE IS 'Mã hợp đồng';</v>
      </c>
    </row>
    <row r="16" spans="1:27">
      <c r="A16" s="151" t="s">
        <v>1302</v>
      </c>
      <c r="B16" s="151" t="s">
        <v>70</v>
      </c>
      <c r="C16" s="145" t="s">
        <v>1515</v>
      </c>
      <c r="D16" s="136" t="s">
        <v>1128</v>
      </c>
      <c r="E16" s="154" t="s">
        <v>64</v>
      </c>
      <c r="F16" s="127" t="s">
        <v>791</v>
      </c>
      <c r="G16" s="145" t="s">
        <v>65</v>
      </c>
      <c r="H16" s="145" t="s">
        <v>1515</v>
      </c>
      <c r="I16" s="136" t="s">
        <v>519</v>
      </c>
      <c r="J16" s="136"/>
      <c r="K16" s="152" t="s">
        <v>1516</v>
      </c>
      <c r="L16" s="152" t="s">
        <v>1516</v>
      </c>
      <c r="M16" s="136" t="s">
        <v>504</v>
      </c>
      <c r="N16" s="126"/>
      <c r="O16" s="13" t="str">
        <f>"COMMENT ON COLUMN PG_GOLD."&amp;G16&amp;"."&amp;H16&amp;" IS '"&amp;K16&amp;"';"</f>
        <v>COMMENT ON COLUMN PG_GOLD.INTF_LOAN_AR.EFF_DT IS 'Ngày hiệu lực của hợp đồng';</v>
      </c>
    </row>
    <row r="17" spans="1:27">
      <c r="A17" s="151" t="s">
        <v>1302</v>
      </c>
      <c r="B17" s="145" t="s">
        <v>203</v>
      </c>
      <c r="C17" s="145" t="s">
        <v>1517</v>
      </c>
      <c r="D17" s="136" t="s">
        <v>1128</v>
      </c>
      <c r="E17" s="154" t="s">
        <v>64</v>
      </c>
      <c r="F17" s="127" t="s">
        <v>748</v>
      </c>
      <c r="G17" s="145" t="s">
        <v>65</v>
      </c>
      <c r="H17" s="145" t="s">
        <v>1517</v>
      </c>
      <c r="I17" s="136" t="s">
        <v>1327</v>
      </c>
      <c r="J17" s="153">
        <v>20</v>
      </c>
      <c r="K17" s="154" t="s">
        <v>747</v>
      </c>
      <c r="L17" s="182" t="s">
        <v>747</v>
      </c>
      <c r="M17" s="136" t="s">
        <v>597</v>
      </c>
      <c r="N17" s="126"/>
      <c r="O17" s="13" t="str">
        <f>"COMMENT ON COLUMN PG_GOLD."&amp;G17&amp;"."&amp;H17&amp;" IS '"&amp;K17&amp;"';"</f>
        <v>COMMENT ON COLUMN PG_GOLD.INTF_LOAN_AR.PD_CGY_CODE IS 'Mã phân loại sản phẩm';</v>
      </c>
    </row>
    <row r="18" spans="1:27">
      <c r="A18" s="151" t="s">
        <v>1302</v>
      </c>
      <c r="B18" s="151" t="s">
        <v>70</v>
      </c>
      <c r="C18" s="145" t="s">
        <v>1518</v>
      </c>
      <c r="D18" s="136" t="s">
        <v>1128</v>
      </c>
      <c r="E18" s="154" t="s">
        <v>64</v>
      </c>
      <c r="F18" s="127" t="s">
        <v>887</v>
      </c>
      <c r="G18" s="145" t="s">
        <v>65</v>
      </c>
      <c r="H18" s="145" t="s">
        <v>1518</v>
      </c>
      <c r="I18" s="136" t="s">
        <v>1327</v>
      </c>
      <c r="J18" s="153">
        <v>40</v>
      </c>
      <c r="K18" s="152" t="s">
        <v>1519</v>
      </c>
      <c r="L18" s="152" t="s">
        <v>1520</v>
      </c>
      <c r="M18" s="136" t="s">
        <v>1521</v>
      </c>
      <c r="N18" s="126"/>
      <c r="O18" s="13" t="str">
        <f>"COMMENT ON COLUMN PG_GOLD."&amp;G18&amp;"."&amp;H18&amp;" IS '"&amp;K18&amp;"';"</f>
        <v>COMMENT ON COLUMN PG_GOLD.INTF_LOAN_AR.PPR_CTR_NBR IS 'Mã hồ sơ';</v>
      </c>
    </row>
    <row r="19" spans="1:27">
      <c r="A19" s="151" t="s">
        <v>1302</v>
      </c>
      <c r="B19" s="145" t="s">
        <v>75</v>
      </c>
      <c r="C19" s="145" t="s">
        <v>1358</v>
      </c>
      <c r="D19" s="136" t="s">
        <v>1128</v>
      </c>
      <c r="E19" s="154" t="s">
        <v>64</v>
      </c>
      <c r="F19" s="127" t="s">
        <v>750</v>
      </c>
      <c r="G19" s="145" t="s">
        <v>65</v>
      </c>
      <c r="H19" s="145" t="s">
        <v>1358</v>
      </c>
      <c r="I19" s="136" t="s">
        <v>1327</v>
      </c>
      <c r="J19" s="153">
        <v>20</v>
      </c>
      <c r="K19" s="154" t="s">
        <v>749</v>
      </c>
      <c r="L19" s="154" t="s">
        <v>749</v>
      </c>
      <c r="M19" s="136" t="s">
        <v>460</v>
      </c>
      <c r="N19" s="126"/>
      <c r="O19" s="13" t="str">
        <f>"COMMENT ON COLUMN PG_GOLD."&amp;G19&amp;"."&amp;H19&amp;" IS '"&amp;K19&amp;"';"</f>
        <v>COMMENT ON COLUMN PG_GOLD.INTF_LOAN_AR.OU_CODE IS 'Mã chi nhánh hạch toán';</v>
      </c>
    </row>
    <row r="20" spans="1:27">
      <c r="A20" s="151" t="s">
        <v>1302</v>
      </c>
      <c r="B20" s="145" t="s">
        <v>203</v>
      </c>
      <c r="C20" s="145" t="s">
        <v>1522</v>
      </c>
      <c r="D20" s="136" t="s">
        <v>1128</v>
      </c>
      <c r="E20" s="154" t="s">
        <v>64</v>
      </c>
      <c r="F20" s="127" t="s">
        <v>762</v>
      </c>
      <c r="G20" s="145" t="s">
        <v>65</v>
      </c>
      <c r="H20" s="145" t="s">
        <v>1522</v>
      </c>
      <c r="I20" s="136" t="s">
        <v>1327</v>
      </c>
      <c r="J20" s="153">
        <v>20</v>
      </c>
      <c r="K20" s="154" t="s">
        <v>761</v>
      </c>
      <c r="L20" s="182" t="s">
        <v>761</v>
      </c>
      <c r="M20" s="136" t="s">
        <v>1523</v>
      </c>
      <c r="N20" s="126"/>
      <c r="O20" s="13" t="str">
        <f>"COMMENT ON COLUMN PG_GOLD."&amp;G20&amp;"."&amp;H20&amp;" IS '"&amp;K20&amp;"';"</f>
        <v>COMMENT ON COLUMN PG_GOLD.INTF_LOAN_AR.SUB_PD_CODE IS 'Mã sản phẩm con';</v>
      </c>
    </row>
    <row r="21" spans="1:27">
      <c r="A21" s="151" t="s">
        <v>1302</v>
      </c>
      <c r="B21" s="145" t="s">
        <v>203</v>
      </c>
      <c r="C21" s="145" t="s">
        <v>253</v>
      </c>
      <c r="D21" s="136" t="s">
        <v>1128</v>
      </c>
      <c r="E21" s="154" t="s">
        <v>64</v>
      </c>
      <c r="F21" s="127" t="s">
        <v>847</v>
      </c>
      <c r="G21" s="145" t="s">
        <v>65</v>
      </c>
      <c r="H21" s="145" t="s">
        <v>253</v>
      </c>
      <c r="I21" s="136" t="s">
        <v>1327</v>
      </c>
      <c r="J21" s="153">
        <v>20</v>
      </c>
      <c r="K21" s="154" t="s">
        <v>254</v>
      </c>
      <c r="L21" s="154" t="s">
        <v>254</v>
      </c>
      <c r="M21" s="136" t="s">
        <v>513</v>
      </c>
      <c r="N21" s="126"/>
      <c r="O21" s="13" t="str">
        <f>"COMMENT ON COLUMN PG_GOLD."&amp;G21&amp;"."&amp;H21&amp;" IS '"&amp;K21&amp;"';"</f>
        <v>COMMENT ON COLUMN PG_GOLD.INTF_LOAN_AR.CST_CODE IS 'Mã khách hàng';</v>
      </c>
    </row>
    <row r="22" spans="1:27">
      <c r="A22" s="151" t="s">
        <v>1302</v>
      </c>
      <c r="B22" s="145" t="s">
        <v>75</v>
      </c>
      <c r="C22" s="145" t="s">
        <v>1524</v>
      </c>
      <c r="D22" s="136" t="s">
        <v>1128</v>
      </c>
      <c r="E22" s="154" t="s">
        <v>64</v>
      </c>
      <c r="F22" s="127" t="s">
        <v>930</v>
      </c>
      <c r="G22" s="145" t="s">
        <v>65</v>
      </c>
      <c r="H22" s="145" t="s">
        <v>1524</v>
      </c>
      <c r="I22" s="136" t="s">
        <v>1327</v>
      </c>
      <c r="J22" s="153">
        <v>40</v>
      </c>
      <c r="K22" s="154" t="s">
        <v>929</v>
      </c>
      <c r="L22" s="294" t="s">
        <v>1525</v>
      </c>
      <c r="M22" s="136" t="s">
        <v>398</v>
      </c>
      <c r="N22" s="126"/>
      <c r="O22" s="13" t="str">
        <f>"COMMENT ON COLUMN PG_GOLD."&amp;G22&amp;"."&amp;H22&amp;" IS '"&amp;K22&amp;"';"</f>
        <v>COMMENT ON COLUMN PG_GOLD.INTF_LOAN_AR.AR_LCS_TP_CODE IS 'Trạng thái';</v>
      </c>
    </row>
    <row r="23" spans="1:27">
      <c r="A23" s="151" t="s">
        <v>1302</v>
      </c>
      <c r="B23" s="145" t="s">
        <v>203</v>
      </c>
      <c r="C23" s="145" t="s">
        <v>1526</v>
      </c>
      <c r="D23" s="136" t="s">
        <v>1128</v>
      </c>
      <c r="E23" s="154" t="s">
        <v>64</v>
      </c>
      <c r="F23" s="127" t="s">
        <v>743</v>
      </c>
      <c r="G23" s="145" t="s">
        <v>65</v>
      </c>
      <c r="H23" s="145" t="s">
        <v>1526</v>
      </c>
      <c r="I23" s="136" t="s">
        <v>1327</v>
      </c>
      <c r="J23" s="153">
        <v>20</v>
      </c>
      <c r="K23" s="154" t="s">
        <v>994</v>
      </c>
      <c r="L23" s="154" t="s">
        <v>994</v>
      </c>
      <c r="M23" s="136" t="s">
        <v>1527</v>
      </c>
      <c r="N23" s="126"/>
      <c r="O23" s="13" t="str">
        <f>"COMMENT ON COLUMN PG_GOLD."&amp;G23&amp;"."&amp;H23&amp;" IS '"&amp;K23&amp;"';"</f>
        <v>COMMENT ON COLUMN PG_GOLD.INTF_LOAN_AR.MUD_CODE IS 'Mã phân hệ';</v>
      </c>
    </row>
    <row r="24" spans="1:27">
      <c r="A24" s="151" t="s">
        <v>1302</v>
      </c>
      <c r="B24" s="145" t="s">
        <v>75</v>
      </c>
      <c r="C24" s="164" t="s">
        <v>1528</v>
      </c>
      <c r="D24" s="136" t="s">
        <v>1128</v>
      </c>
      <c r="E24" s="154" t="s">
        <v>64</v>
      </c>
      <c r="F24" s="292" t="s">
        <v>948</v>
      </c>
      <c r="G24" s="145" t="s">
        <v>65</v>
      </c>
      <c r="H24" s="164" t="s">
        <v>1528</v>
      </c>
      <c r="I24" s="136" t="s">
        <v>1327</v>
      </c>
      <c r="J24" s="153">
        <v>20</v>
      </c>
      <c r="K24" s="154" t="s">
        <v>962</v>
      </c>
      <c r="L24" s="174" t="s">
        <v>1529</v>
      </c>
      <c r="M24" s="136" t="s">
        <v>627</v>
      </c>
      <c r="N24" s="126"/>
      <c r="O24" s="13" t="str">
        <f>"COMMENT ON COLUMN PG_GOLD."&amp;G24&amp;"."&amp;H24&amp;" IS '"&amp;K24&amp;"';"</f>
        <v>COMMENT ON COLUMN PG_GOLD.INTF_LOAN_AR.FNC_ST_CODE IS 'Nhóm nợ hợp đồng';</v>
      </c>
    </row>
    <row r="25" spans="1:27">
      <c r="A25" s="151" t="s">
        <v>1302</v>
      </c>
      <c r="B25" s="136" t="s">
        <v>70</v>
      </c>
      <c r="C25" s="145" t="s">
        <v>281</v>
      </c>
      <c r="D25" s="136" t="s">
        <v>1128</v>
      </c>
      <c r="E25" s="154" t="s">
        <v>64</v>
      </c>
      <c r="F25" s="127" t="s">
        <v>752</v>
      </c>
      <c r="G25" s="145" t="s">
        <v>65</v>
      </c>
      <c r="H25" s="145" t="s">
        <v>281</v>
      </c>
      <c r="I25" s="136" t="s">
        <v>1327</v>
      </c>
      <c r="J25" s="153">
        <v>20</v>
      </c>
      <c r="K25" s="154" t="s">
        <v>282</v>
      </c>
      <c r="L25" s="154" t="s">
        <v>282</v>
      </c>
      <c r="M25" s="136" t="s">
        <v>469</v>
      </c>
      <c r="N25" s="126"/>
      <c r="O25" s="13" t="str">
        <f>"COMMENT ON COLUMN PG_GOLD."&amp;G25&amp;"."&amp;H25&amp;" IS '"&amp;K25&amp;"';"</f>
        <v>COMMENT ON COLUMN PG_GOLD.INTF_LOAN_AR.CCY_CODE IS 'Loại tiền';</v>
      </c>
    </row>
    <row r="26" spans="1:27">
      <c r="A26" s="136" t="s">
        <v>1302</v>
      </c>
      <c r="B26" s="151" t="s">
        <v>70</v>
      </c>
      <c r="C26" s="127" t="s">
        <v>1482</v>
      </c>
      <c r="D26" s="136" t="s">
        <v>1128</v>
      </c>
      <c r="E26" s="154" t="s">
        <v>64</v>
      </c>
      <c r="F26" s="258" t="s">
        <v>897</v>
      </c>
      <c r="G26" s="145" t="s">
        <v>65</v>
      </c>
      <c r="H26" s="127" t="s">
        <v>1482</v>
      </c>
      <c r="I26" s="136" t="s">
        <v>519</v>
      </c>
      <c r="J26" s="136"/>
      <c r="K26" s="154" t="s">
        <v>1530</v>
      </c>
      <c r="L26" s="154" t="s">
        <v>1530</v>
      </c>
      <c r="M26" s="136" t="s">
        <v>603</v>
      </c>
      <c r="N26" s="126"/>
      <c r="O26" s="13" t="str">
        <f>"COMMENT ON COLUMN PG_GOLD."&amp;G26&amp;"."&amp;H26&amp;" IS '"&amp;K26&amp;"';"</f>
        <v>COMMENT ON COLUMN PG_GOLD.INTF_LOAN_AR.MAT_DT IS 'Ngày đáo hạn hợp đồng';</v>
      </c>
    </row>
    <row r="27" spans="1:27">
      <c r="A27" s="157" t="s">
        <v>1302</v>
      </c>
      <c r="B27" s="157"/>
      <c r="C27" s="160"/>
      <c r="D27" s="155" t="s">
        <v>1531</v>
      </c>
      <c r="E27" s="148" t="s">
        <v>64</v>
      </c>
      <c r="F27" s="157"/>
      <c r="G27" s="156" t="s">
        <v>65</v>
      </c>
      <c r="H27" s="160" t="s">
        <v>595</v>
      </c>
      <c r="I27" s="157" t="s">
        <v>1106</v>
      </c>
      <c r="J27" s="157">
        <v>25.5</v>
      </c>
      <c r="K27" s="148"/>
      <c r="L27" s="148"/>
      <c r="M27" s="157" t="s">
        <v>595</v>
      </c>
      <c r="N27" s="126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151" t="s">
        <v>1302</v>
      </c>
      <c r="B28" s="151" t="s">
        <v>70</v>
      </c>
      <c r="C28" s="127" t="s">
        <v>1480</v>
      </c>
      <c r="D28" s="136" t="s">
        <v>1532</v>
      </c>
      <c r="E28" s="154" t="s">
        <v>64</v>
      </c>
      <c r="F28" s="127" t="s">
        <v>919</v>
      </c>
      <c r="G28" s="145" t="s">
        <v>65</v>
      </c>
      <c r="H28" s="146" t="s">
        <v>1533</v>
      </c>
      <c r="I28" s="136" t="s">
        <v>519</v>
      </c>
      <c r="J28" s="136"/>
      <c r="K28" s="154" t="s">
        <v>918</v>
      </c>
      <c r="L28" s="154" t="s">
        <v>918</v>
      </c>
      <c r="M28" s="136" t="s">
        <v>1534</v>
      </c>
      <c r="N28" s="126"/>
      <c r="O28" s="13" t="str">
        <f>"COMMENT ON COLUMN PG_GOLD."&amp;G28&amp;"."&amp;H28&amp;" IS '"&amp;K28&amp;"';"</f>
        <v>COMMENT ON COLUMN PG_GOLD.INTF_LOAN_AR.VAL_DT IS 'Ngày hiệu lực đầu tiên của hợp đồng';</v>
      </c>
    </row>
    <row r="29" spans="1:27">
      <c r="A29" s="157" t="s">
        <v>1302</v>
      </c>
      <c r="B29" s="157"/>
      <c r="C29" s="160"/>
      <c r="D29" s="157" t="s">
        <v>1535</v>
      </c>
      <c r="E29" s="148" t="s">
        <v>64</v>
      </c>
      <c r="F29" s="157"/>
      <c r="G29" s="156" t="s">
        <v>65</v>
      </c>
      <c r="H29" s="160" t="s">
        <v>1536</v>
      </c>
      <c r="I29" s="157" t="s">
        <v>1327</v>
      </c>
      <c r="J29" s="157">
        <v>40</v>
      </c>
      <c r="K29" s="148"/>
      <c r="L29" s="148"/>
      <c r="M29" s="157" t="s">
        <v>1536</v>
      </c>
      <c r="N29" s="126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151" t="s">
        <v>1302</v>
      </c>
      <c r="B30" s="145" t="s">
        <v>203</v>
      </c>
      <c r="C30" s="145" t="s">
        <v>1537</v>
      </c>
      <c r="D30" s="136" t="s">
        <v>1128</v>
      </c>
      <c r="E30" s="154" t="s">
        <v>64</v>
      </c>
      <c r="F30" s="127" t="s">
        <v>756</v>
      </c>
      <c r="G30" s="145" t="s">
        <v>65</v>
      </c>
      <c r="H30" s="145" t="s">
        <v>1537</v>
      </c>
      <c r="I30" s="136" t="s">
        <v>1327</v>
      </c>
      <c r="J30" s="136"/>
      <c r="K30" s="154" t="s">
        <v>1538</v>
      </c>
      <c r="L30" s="158" t="s">
        <v>1539</v>
      </c>
      <c r="M30" s="136" t="s">
        <v>520</v>
      </c>
      <c r="N30" s="126"/>
      <c r="O30" s="13" t="str">
        <f>"COMMENT ON COLUMN PG_GOLD."&amp;G30&amp;"."&amp;H30&amp;" IS '"&amp;K30&amp;"';"</f>
        <v>COMMENT ON COLUMN PG_GOLD.INTF_LOAN_AR.AR_TERM_TP_CODE IS 'Mã nhóm kỳ hạn';</v>
      </c>
    </row>
    <row r="31" spans="1:27">
      <c r="A31" s="151" t="s">
        <v>1302</v>
      </c>
      <c r="B31" s="151" t="s">
        <v>70</v>
      </c>
      <c r="C31" s="145" t="s">
        <v>1540</v>
      </c>
      <c r="D31" s="136" t="s">
        <v>1128</v>
      </c>
      <c r="E31" s="154" t="s">
        <v>64</v>
      </c>
      <c r="F31" s="145" t="s">
        <v>1540</v>
      </c>
      <c r="G31" s="145" t="s">
        <v>65</v>
      </c>
      <c r="H31" s="145" t="s">
        <v>1540</v>
      </c>
      <c r="I31" s="136" t="s">
        <v>1327</v>
      </c>
      <c r="J31" s="136"/>
      <c r="K31" s="154" t="s">
        <v>910</v>
      </c>
      <c r="L31" s="154" t="s">
        <v>910</v>
      </c>
      <c r="M31" s="136" t="s">
        <v>1541</v>
      </c>
      <c r="N31" s="126"/>
      <c r="O31" s="13" t="str">
        <f>"COMMENT ON COLUMN PG_GOLD."&amp;G31&amp;"."&amp;H31&amp;" IS '"&amp;K31&amp;"';"</f>
        <v>COMMENT ON COLUMN PG_GOLD.INTF_LOAN_AR.LMT_CODE IS 'Mã tham chiếu hạn mức';</v>
      </c>
    </row>
    <row r="32" spans="1:27">
      <c r="A32" s="157" t="s">
        <v>1302</v>
      </c>
      <c r="B32" s="157"/>
      <c r="C32" s="160"/>
      <c r="D32" s="157" t="s">
        <v>1535</v>
      </c>
      <c r="E32" s="148" t="s">
        <v>64</v>
      </c>
      <c r="F32" s="157"/>
      <c r="G32" s="156" t="s">
        <v>65</v>
      </c>
      <c r="H32" s="157" t="s">
        <v>1542</v>
      </c>
      <c r="I32" s="157" t="s">
        <v>1106</v>
      </c>
      <c r="J32" s="157"/>
      <c r="K32" s="148"/>
      <c r="L32" s="148"/>
      <c r="M32" s="157" t="s">
        <v>1543</v>
      </c>
      <c r="N32" s="126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>
      <c r="A33" s="157" t="s">
        <v>1302</v>
      </c>
      <c r="B33" s="157"/>
      <c r="C33" s="160"/>
      <c r="D33" s="157" t="s">
        <v>1535</v>
      </c>
      <c r="E33" s="148" t="s">
        <v>64</v>
      </c>
      <c r="F33" s="157"/>
      <c r="G33" s="156" t="s">
        <v>65</v>
      </c>
      <c r="H33" s="157" t="s">
        <v>1544</v>
      </c>
      <c r="I33" s="157" t="s">
        <v>1106</v>
      </c>
      <c r="J33" s="157">
        <v>25.5</v>
      </c>
      <c r="K33" s="148"/>
      <c r="L33" s="148"/>
      <c r="M33" s="157" t="s">
        <v>609</v>
      </c>
      <c r="N33" s="126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spans="1:27">
      <c r="A34" s="151" t="s">
        <v>1302</v>
      </c>
      <c r="B34" s="145" t="s">
        <v>75</v>
      </c>
      <c r="C34" s="145" t="s">
        <v>1545</v>
      </c>
      <c r="D34" s="136" t="s">
        <v>1128</v>
      </c>
      <c r="E34" s="154" t="s">
        <v>64</v>
      </c>
      <c r="F34" s="127" t="s">
        <v>1546</v>
      </c>
      <c r="G34" s="145" t="s">
        <v>65</v>
      </c>
      <c r="H34" s="145" t="s">
        <v>1545</v>
      </c>
      <c r="I34" s="136" t="s">
        <v>1327</v>
      </c>
      <c r="J34" s="136">
        <v>40</v>
      </c>
      <c r="K34" s="154" t="s">
        <v>900</v>
      </c>
      <c r="L34" s="159" t="s">
        <v>1547</v>
      </c>
      <c r="M34" s="136" t="s">
        <v>605</v>
      </c>
      <c r="N34" s="126"/>
      <c r="O34" s="13" t="str">
        <f>"COMMENT ON COLUMN PG_GOLD."&amp;G34&amp;"."&amp;H34&amp;" IS '"&amp;K34&amp;"';"</f>
        <v>COMMENT ON COLUMN PG_GOLD.INTF_LOAN_AR.INT_LQD_AR_CODE IS 'Tài khoản thanh toán lãi';</v>
      </c>
    </row>
    <row r="35" spans="1:27">
      <c r="A35" s="151" t="s">
        <v>1302</v>
      </c>
      <c r="B35" s="151" t="s">
        <v>70</v>
      </c>
      <c r="C35" s="145" t="s">
        <v>1548</v>
      </c>
      <c r="D35" s="136" t="s">
        <v>1128</v>
      </c>
      <c r="E35" s="154" t="s">
        <v>64</v>
      </c>
      <c r="F35" s="127" t="s">
        <v>877</v>
      </c>
      <c r="G35" s="145" t="s">
        <v>65</v>
      </c>
      <c r="H35" s="145" t="s">
        <v>1548</v>
      </c>
      <c r="I35" s="136" t="s">
        <v>1327</v>
      </c>
      <c r="J35" s="136">
        <v>40</v>
      </c>
      <c r="K35" s="154" t="s">
        <v>735</v>
      </c>
      <c r="L35" s="154" t="s">
        <v>1549</v>
      </c>
      <c r="M35" s="136" t="s">
        <v>507</v>
      </c>
      <c r="N35" s="126"/>
      <c r="O35" s="13" t="str">
        <f>"COMMENT ON COLUMN PG_GOLD."&amp;G35&amp;"."&amp;H35&amp;" IS '"&amp;K35&amp;"';"</f>
        <v>COMMENT ON COLUMN PG_GOLD.INTF_LOAN_AR.FCC_AR_CODE IS 'Mã hợp đồng FlexCube';</v>
      </c>
    </row>
    <row r="36" spans="1:27">
      <c r="A36" s="151" t="s">
        <v>1302</v>
      </c>
      <c r="B36" s="145" t="s">
        <v>208</v>
      </c>
      <c r="C36" s="136" t="s">
        <v>1550</v>
      </c>
      <c r="D36" s="136" t="s">
        <v>1128</v>
      </c>
      <c r="E36" s="154" t="s">
        <v>64</v>
      </c>
      <c r="F36" s="136" t="s">
        <v>921</v>
      </c>
      <c r="G36" s="145" t="s">
        <v>65</v>
      </c>
      <c r="H36" s="136" t="s">
        <v>1550</v>
      </c>
      <c r="I36" s="136" t="s">
        <v>1106</v>
      </c>
      <c r="J36" s="136">
        <v>25.5</v>
      </c>
      <c r="K36" s="154" t="s">
        <v>920</v>
      </c>
      <c r="L36" s="159" t="s">
        <v>1551</v>
      </c>
      <c r="M36" s="136" t="s">
        <v>613</v>
      </c>
      <c r="N36" s="126"/>
      <c r="O36" s="13" t="str">
        <f>"COMMENT ON COLUMN PG_GOLD."&amp;G36&amp;"."&amp;H36&amp;" IS '"&amp;K36&amp;"';"</f>
        <v>COMMENT ON COLUMN PG_GOLD.INTF_LOAN_AR.PNY_RATE IS 'Lãi phạt penalty rate';</v>
      </c>
    </row>
    <row r="37" spans="1:27">
      <c r="A37" s="151" t="s">
        <v>1302</v>
      </c>
      <c r="B37" s="145" t="s">
        <v>208</v>
      </c>
      <c r="C37" s="136" t="s">
        <v>1552</v>
      </c>
      <c r="D37" s="136" t="s">
        <v>1128</v>
      </c>
      <c r="E37" s="154" t="s">
        <v>64</v>
      </c>
      <c r="F37" s="136" t="s">
        <v>926</v>
      </c>
      <c r="G37" s="145" t="s">
        <v>65</v>
      </c>
      <c r="H37" s="136" t="s">
        <v>1552</v>
      </c>
      <c r="I37" s="136" t="s">
        <v>1106</v>
      </c>
      <c r="J37" s="136">
        <v>25.5</v>
      </c>
      <c r="K37" s="154" t="s">
        <v>925</v>
      </c>
      <c r="L37" s="159" t="s">
        <v>1553</v>
      </c>
      <c r="M37" s="136" t="s">
        <v>616</v>
      </c>
      <c r="N37" s="126"/>
      <c r="O37" s="13" t="str">
        <f>"COMMENT ON COLUMN PG_GOLD."&amp;G37&amp;"."&amp;H37&amp;" IS '"&amp;K37&amp;"';"</f>
        <v>COMMENT ON COLUMN PG_GOLD.INTF_LOAN_AR.ODUE_INT_RATE IS 'Lãi suất cho quá hạn';</v>
      </c>
    </row>
    <row r="38" spans="1:27">
      <c r="A38" s="157" t="s">
        <v>1302</v>
      </c>
      <c r="B38" s="160"/>
      <c r="C38" s="160"/>
      <c r="D38" s="155" t="s">
        <v>1531</v>
      </c>
      <c r="E38" s="148" t="s">
        <v>64</v>
      </c>
      <c r="F38" s="157"/>
      <c r="G38" s="156" t="s">
        <v>65</v>
      </c>
      <c r="H38" s="160" t="s">
        <v>508</v>
      </c>
      <c r="I38" s="157" t="s">
        <v>1106</v>
      </c>
      <c r="J38" s="157">
        <v>25.5</v>
      </c>
      <c r="K38" s="148"/>
      <c r="L38" s="148"/>
      <c r="M38" s="157" t="s">
        <v>508</v>
      </c>
      <c r="N38" s="126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157" t="s">
        <v>1302</v>
      </c>
      <c r="B39" s="160"/>
      <c r="C39" s="160"/>
      <c r="D39" s="157" t="s">
        <v>1535</v>
      </c>
      <c r="E39" s="148" t="s">
        <v>64</v>
      </c>
      <c r="F39" s="157"/>
      <c r="G39" s="156" t="s">
        <v>65</v>
      </c>
      <c r="H39" s="157" t="s">
        <v>1554</v>
      </c>
      <c r="I39" s="157" t="s">
        <v>1327</v>
      </c>
      <c r="J39" s="157">
        <v>20</v>
      </c>
      <c r="K39" s="148"/>
      <c r="L39" s="148"/>
      <c r="M39" s="157" t="s">
        <v>1555</v>
      </c>
      <c r="N39" s="126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157" t="s">
        <v>1302</v>
      </c>
      <c r="B40" s="160"/>
      <c r="C40" s="160"/>
      <c r="D40" s="157" t="s">
        <v>1535</v>
      </c>
      <c r="E40" s="148" t="s">
        <v>64</v>
      </c>
      <c r="F40" s="157"/>
      <c r="G40" s="156" t="s">
        <v>65</v>
      </c>
      <c r="H40" s="157" t="s">
        <v>1556</v>
      </c>
      <c r="I40" s="157" t="s">
        <v>1327</v>
      </c>
      <c r="J40" s="157">
        <v>20</v>
      </c>
      <c r="K40" s="148"/>
      <c r="L40" s="148"/>
      <c r="M40" s="157" t="s">
        <v>1557</v>
      </c>
      <c r="N40" s="126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157" t="s">
        <v>1302</v>
      </c>
      <c r="B41" s="157"/>
      <c r="C41" s="160"/>
      <c r="D41" s="157" t="s">
        <v>1535</v>
      </c>
      <c r="E41" s="148" t="s">
        <v>64</v>
      </c>
      <c r="F41" s="157"/>
      <c r="G41" s="156" t="s">
        <v>65</v>
      </c>
      <c r="H41" s="157" t="s">
        <v>1558</v>
      </c>
      <c r="I41" s="157" t="s">
        <v>1327</v>
      </c>
      <c r="J41" s="157"/>
      <c r="K41" s="148"/>
      <c r="L41" s="148"/>
      <c r="M41" s="157" t="s">
        <v>1559</v>
      </c>
      <c r="N41" s="126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>
      <c r="A42" s="157" t="s">
        <v>1302</v>
      </c>
      <c r="B42" s="157"/>
      <c r="C42" s="160"/>
      <c r="D42" s="157" t="s">
        <v>1535</v>
      </c>
      <c r="E42" s="148" t="s">
        <v>64</v>
      </c>
      <c r="F42" s="157"/>
      <c r="G42" s="156" t="s">
        <v>65</v>
      </c>
      <c r="H42" s="160" t="s">
        <v>1560</v>
      </c>
      <c r="I42" s="157" t="s">
        <v>1106</v>
      </c>
      <c r="J42" s="157">
        <v>25.5</v>
      </c>
      <c r="K42" s="148"/>
      <c r="L42" s="148"/>
      <c r="M42" s="157" t="s">
        <v>1560</v>
      </c>
      <c r="N42" s="126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spans="1:27">
      <c r="A43" s="151" t="s">
        <v>1302</v>
      </c>
      <c r="B43" s="145" t="s">
        <v>203</v>
      </c>
      <c r="C43" s="145" t="s">
        <v>246</v>
      </c>
      <c r="D43" s="136" t="s">
        <v>1128</v>
      </c>
      <c r="E43" s="154" t="s">
        <v>64</v>
      </c>
      <c r="F43" s="127" t="s">
        <v>1561</v>
      </c>
      <c r="G43" s="145" t="s">
        <v>65</v>
      </c>
      <c r="H43" s="161" t="s">
        <v>1562</v>
      </c>
      <c r="I43" s="136" t="s">
        <v>519</v>
      </c>
      <c r="J43" s="136"/>
      <c r="K43" s="154" t="s">
        <v>763</v>
      </c>
      <c r="L43" s="159" t="s">
        <v>763</v>
      </c>
      <c r="M43" s="136" t="s">
        <v>503</v>
      </c>
      <c r="N43" s="126"/>
      <c r="O43" s="13" t="str">
        <f>"COMMENT ON COLUMN PG_GOLD."&amp;G43&amp;"."&amp;H43&amp;" IS '"&amp;K43&amp;"';"</f>
        <v>COMMENT ON COLUMN PG_GOLD.INTF_LOAN_AR.TXN_DT IS 'Ngày giao dịch';</v>
      </c>
    </row>
    <row r="44" spans="1:27">
      <c r="A44" s="157" t="s">
        <v>1302</v>
      </c>
      <c r="B44" s="157"/>
      <c r="C44" s="160"/>
      <c r="D44" s="155" t="s">
        <v>1531</v>
      </c>
      <c r="E44" s="148" t="s">
        <v>64</v>
      </c>
      <c r="F44" s="157"/>
      <c r="G44" s="156" t="s">
        <v>65</v>
      </c>
      <c r="H44" s="157" t="s">
        <v>1563</v>
      </c>
      <c r="I44" s="157" t="s">
        <v>1106</v>
      </c>
      <c r="J44" s="157">
        <v>25.5</v>
      </c>
      <c r="K44" s="148"/>
      <c r="L44" s="148"/>
      <c r="M44" s="157" t="s">
        <v>1564</v>
      </c>
      <c r="N44" s="126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spans="1:27">
      <c r="A45" s="136" t="s">
        <v>1302</v>
      </c>
      <c r="B45" s="145" t="s">
        <v>1512</v>
      </c>
      <c r="C45" s="145" t="s">
        <v>1191</v>
      </c>
      <c r="D45" s="145" t="s">
        <v>1128</v>
      </c>
      <c r="E45" s="154" t="s">
        <v>64</v>
      </c>
      <c r="F45" s="127" t="s">
        <v>1565</v>
      </c>
      <c r="G45" s="145" t="s">
        <v>65</v>
      </c>
      <c r="H45" s="162" t="s">
        <v>1566</v>
      </c>
      <c r="I45" s="136" t="s">
        <v>1106</v>
      </c>
      <c r="J45" s="136">
        <v>25.5</v>
      </c>
      <c r="K45" s="154" t="s">
        <v>1567</v>
      </c>
      <c r="L45" s="159" t="s">
        <v>1568</v>
      </c>
      <c r="M45" s="136" t="s">
        <v>1569</v>
      </c>
      <c r="N45" s="126"/>
      <c r="O45" s="13" t="str">
        <f>"COMMENT ON COLUMN PG_GOLD."&amp;G45&amp;"."&amp;H45&amp;" IS '"&amp;K45&amp;"';"</f>
        <v>COMMENT ON COLUMN PG_GOLD.INTF_LOAN_AR.ODUE_IN_AMT IS 'Lãi quá hạn';</v>
      </c>
    </row>
    <row r="46" spans="1:27">
      <c r="A46" s="157" t="s">
        <v>1302</v>
      </c>
      <c r="B46" s="157"/>
      <c r="C46" s="160"/>
      <c r="D46" s="155" t="s">
        <v>1531</v>
      </c>
      <c r="E46" s="148" t="s">
        <v>64</v>
      </c>
      <c r="F46" s="157"/>
      <c r="G46" s="156" t="s">
        <v>65</v>
      </c>
      <c r="H46" s="157" t="s">
        <v>1570</v>
      </c>
      <c r="I46" s="157" t="s">
        <v>1106</v>
      </c>
      <c r="J46" s="157">
        <v>25.5</v>
      </c>
      <c r="K46" s="148"/>
      <c r="L46" s="148"/>
      <c r="M46" s="157" t="s">
        <v>1571</v>
      </c>
      <c r="N46" s="126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spans="1:27">
      <c r="A47" s="157" t="s">
        <v>1302</v>
      </c>
      <c r="B47" s="160"/>
      <c r="C47" s="160"/>
      <c r="D47" s="155" t="s">
        <v>1531</v>
      </c>
      <c r="E47" s="148" t="s">
        <v>64</v>
      </c>
      <c r="F47" s="157"/>
      <c r="G47" s="156" t="s">
        <v>65</v>
      </c>
      <c r="H47" s="157" t="s">
        <v>1572</v>
      </c>
      <c r="I47" s="157" t="s">
        <v>1106</v>
      </c>
      <c r="J47" s="157">
        <v>25.5</v>
      </c>
      <c r="K47" s="148"/>
      <c r="L47" s="148"/>
      <c r="M47" s="157" t="s">
        <v>1573</v>
      </c>
      <c r="N47" s="126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136" t="s">
        <v>1302</v>
      </c>
      <c r="B48" s="145" t="s">
        <v>208</v>
      </c>
      <c r="C48" s="163" t="s">
        <v>1574</v>
      </c>
      <c r="D48" s="136" t="s">
        <v>1128</v>
      </c>
      <c r="E48" s="154" t="s">
        <v>64</v>
      </c>
      <c r="F48" s="164" t="s">
        <v>695</v>
      </c>
      <c r="G48" s="145" t="s">
        <v>65</v>
      </c>
      <c r="H48" s="163" t="s">
        <v>1574</v>
      </c>
      <c r="I48" s="136" t="s">
        <v>1106</v>
      </c>
      <c r="J48" s="136">
        <v>25.5</v>
      </c>
      <c r="K48" s="165" t="s">
        <v>694</v>
      </c>
      <c r="L48" s="166" t="s">
        <v>694</v>
      </c>
      <c r="M48" s="136" t="s">
        <v>693</v>
      </c>
      <c r="N48" s="126"/>
      <c r="O48" s="13" t="str">
        <f>"COMMENT ON COLUMN PG_GOLD."&amp;G48&amp;"."&amp;H48&amp;" IS '"&amp;K48&amp;"';"</f>
        <v>COMMENT ON COLUMN PG_GOLD.INTF_LOAN_AR.MRGN_RATE IS 'Biên độ thay đổi lãi suất';</v>
      </c>
    </row>
    <row r="49" spans="1:27">
      <c r="A49" s="136" t="s">
        <v>1302</v>
      </c>
      <c r="B49" s="151" t="s">
        <v>70</v>
      </c>
      <c r="C49" s="145" t="s">
        <v>284</v>
      </c>
      <c r="D49" s="136" t="s">
        <v>1128</v>
      </c>
      <c r="E49" s="154" t="s">
        <v>64</v>
      </c>
      <c r="F49" s="292" t="s">
        <v>691</v>
      </c>
      <c r="G49" s="145" t="s">
        <v>65</v>
      </c>
      <c r="H49" s="145" t="s">
        <v>284</v>
      </c>
      <c r="I49" s="136" t="s">
        <v>1327</v>
      </c>
      <c r="J49" s="136"/>
      <c r="K49" s="154" t="s">
        <v>715</v>
      </c>
      <c r="L49" s="182" t="s">
        <v>1575</v>
      </c>
      <c r="M49" s="136" t="s">
        <v>696</v>
      </c>
      <c r="N49" s="126"/>
      <c r="O49" s="13" t="str">
        <f>"COMMENT ON COLUMN PG_GOLD."&amp;G49&amp;"."&amp;H49&amp;" IS '"&amp;K49&amp;"';"</f>
        <v>COMMENT ON COLUMN PG_GOLD.INTF_LOAN_AR.PD_CODE IS 'Mã sản phẩm';</v>
      </c>
    </row>
    <row r="50" spans="1:27">
      <c r="A50" s="169" t="s">
        <v>1302</v>
      </c>
      <c r="B50" s="169" t="s">
        <v>70</v>
      </c>
      <c r="C50" s="167" t="s">
        <v>284</v>
      </c>
      <c r="D50" s="169" t="s">
        <v>1128</v>
      </c>
      <c r="E50" s="168" t="s">
        <v>64</v>
      </c>
      <c r="F50" s="169"/>
      <c r="G50" s="167" t="s">
        <v>65</v>
      </c>
      <c r="H50" s="167" t="s">
        <v>284</v>
      </c>
      <c r="I50" s="169" t="s">
        <v>1327</v>
      </c>
      <c r="J50" s="169"/>
      <c r="K50" s="168"/>
      <c r="L50" s="168"/>
      <c r="M50" s="169" t="s">
        <v>689</v>
      </c>
      <c r="N50" s="126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</row>
    <row r="51" spans="1:27">
      <c r="A51" s="151" t="s">
        <v>1302</v>
      </c>
      <c r="B51" s="145" t="s">
        <v>75</v>
      </c>
      <c r="C51" s="136" t="s">
        <v>1576</v>
      </c>
      <c r="D51" s="136" t="s">
        <v>1128</v>
      </c>
      <c r="E51" s="154" t="s">
        <v>64</v>
      </c>
      <c r="F51" s="136" t="s">
        <v>671</v>
      </c>
      <c r="G51" s="145" t="s">
        <v>65</v>
      </c>
      <c r="H51" s="136" t="s">
        <v>1576</v>
      </c>
      <c r="I51" s="136" t="s">
        <v>1327</v>
      </c>
      <c r="J51" s="136">
        <v>20</v>
      </c>
      <c r="K51" s="154" t="s">
        <v>669</v>
      </c>
      <c r="L51" s="171" t="s">
        <v>1577</v>
      </c>
      <c r="M51" s="136" t="s">
        <v>423</v>
      </c>
      <c r="N51" s="126"/>
      <c r="O51" s="13" t="str">
        <f>"COMMENT ON COLUMN PG_GOLD."&amp;G51&amp;"."&amp;H51&amp;" IS '"&amp;K51&amp;"';"</f>
        <v>COMMENT ON COLUMN PG_GOLD.INTF_LOAN_AR.DSBR_PRPSL_OFCR IS 'Cán bộ đề xuất giải ngân';</v>
      </c>
    </row>
    <row r="52" spans="1:27">
      <c r="A52" s="151" t="s">
        <v>1302</v>
      </c>
      <c r="B52" s="145" t="s">
        <v>75</v>
      </c>
      <c r="C52" s="136" t="s">
        <v>1578</v>
      </c>
      <c r="D52" s="136" t="s">
        <v>1128</v>
      </c>
      <c r="E52" s="154" t="s">
        <v>64</v>
      </c>
      <c r="F52" s="136" t="s">
        <v>686</v>
      </c>
      <c r="G52" s="145" t="s">
        <v>65</v>
      </c>
      <c r="H52" s="136" t="s">
        <v>1578</v>
      </c>
      <c r="I52" s="136" t="s">
        <v>1327</v>
      </c>
      <c r="J52" s="136">
        <v>20</v>
      </c>
      <c r="K52" s="154" t="s">
        <v>685</v>
      </c>
      <c r="L52" s="171" t="s">
        <v>1579</v>
      </c>
      <c r="M52" s="136" t="s">
        <v>429</v>
      </c>
      <c r="N52" s="126"/>
      <c r="O52" s="13" t="str">
        <f>"COMMENT ON COLUMN PG_GOLD."&amp;G52&amp;"."&amp;H52&amp;" IS '"&amp;K52&amp;"';"</f>
        <v>COMMENT ON COLUMN PG_GOLD.INTF_LOAN_AR.DSBR_PRPSL_MGR IS 'Người đề xuất giải ngân';</v>
      </c>
    </row>
    <row r="53" spans="1:27">
      <c r="A53" s="136" t="s">
        <v>1302</v>
      </c>
      <c r="B53" s="145" t="s">
        <v>75</v>
      </c>
      <c r="C53" s="145" t="s">
        <v>1580</v>
      </c>
      <c r="D53" s="136" t="s">
        <v>1128</v>
      </c>
      <c r="E53" s="154" t="s">
        <v>64</v>
      </c>
      <c r="F53" s="136" t="s">
        <v>700</v>
      </c>
      <c r="G53" s="145" t="s">
        <v>65</v>
      </c>
      <c r="H53" s="145" t="s">
        <v>1580</v>
      </c>
      <c r="I53" s="136" t="s">
        <v>1327</v>
      </c>
      <c r="J53" s="136">
        <v>20</v>
      </c>
      <c r="K53" s="172" t="s">
        <v>1581</v>
      </c>
      <c r="L53" s="173" t="s">
        <v>1582</v>
      </c>
      <c r="M53" s="136" t="s">
        <v>699</v>
      </c>
      <c r="N53" s="292"/>
      <c r="O53" s="13" t="str">
        <f>"COMMENT ON COLUMN PG_GOLD."&amp;G53&amp;"."&amp;H53&amp;" IS '"&amp;K53&amp;"';"</f>
        <v>COMMENT ON COLUMN PG_GOLD.INTF_LOAN_AR.MGT_OFCR IS 'Cán bộ quản lý khoản vay';</v>
      </c>
    </row>
    <row r="54" spans="1:27">
      <c r="A54" s="136" t="s">
        <v>1302</v>
      </c>
      <c r="B54" s="145" t="s">
        <v>75</v>
      </c>
      <c r="C54" s="145" t="s">
        <v>1583</v>
      </c>
      <c r="D54" s="136" t="s">
        <v>1128</v>
      </c>
      <c r="E54" s="154" t="s">
        <v>64</v>
      </c>
      <c r="F54" s="136" t="s">
        <v>702</v>
      </c>
      <c r="G54" s="145" t="s">
        <v>65</v>
      </c>
      <c r="H54" s="145" t="s">
        <v>1583</v>
      </c>
      <c r="I54" s="136" t="s">
        <v>1327</v>
      </c>
      <c r="J54" s="136">
        <v>20</v>
      </c>
      <c r="K54" s="172" t="s">
        <v>1584</v>
      </c>
      <c r="L54" s="173" t="s">
        <v>1585</v>
      </c>
      <c r="M54" s="136" t="s">
        <v>701</v>
      </c>
      <c r="N54" s="292"/>
      <c r="O54" s="13" t="str">
        <f>"COMMENT ON COLUMN PG_GOLD."&amp;G54&amp;"."&amp;H54&amp;" IS '"&amp;K54&amp;"';"</f>
        <v>COMMENT ON COLUMN PG_GOLD.INTF_LOAN_AR.MGT_MGR IS 'Người quản lý khoản vay';</v>
      </c>
    </row>
    <row r="55" spans="1:27">
      <c r="A55" s="136" t="s">
        <v>1302</v>
      </c>
      <c r="B55" s="145" t="s">
        <v>75</v>
      </c>
      <c r="C55" s="145" t="s">
        <v>1586</v>
      </c>
      <c r="D55" s="136" t="s">
        <v>1128</v>
      </c>
      <c r="E55" s="154" t="s">
        <v>64</v>
      </c>
      <c r="F55" s="136" t="s">
        <v>704</v>
      </c>
      <c r="G55" s="145" t="s">
        <v>65</v>
      </c>
      <c r="H55" s="145" t="s">
        <v>1586</v>
      </c>
      <c r="I55" s="136" t="s">
        <v>1327</v>
      </c>
      <c r="J55" s="136">
        <v>1000</v>
      </c>
      <c r="K55" s="154" t="s">
        <v>1587</v>
      </c>
      <c r="L55" s="171" t="s">
        <v>1588</v>
      </c>
      <c r="M55" s="136" t="s">
        <v>703</v>
      </c>
      <c r="N55" s="292"/>
      <c r="O55" s="13" t="str">
        <f>"COMMENT ON COLUMN PG_GOLD."&amp;G55&amp;"."&amp;H55&amp;" IS '"&amp;K55&amp;"';"</f>
        <v>COMMENT ON COLUMN PG_GOLD.INTF_LOAN_AR.APRV_AHR IS 'Cấp phê duyệt giải ngân';</v>
      </c>
    </row>
    <row r="56" spans="1:27">
      <c r="A56" s="136" t="s">
        <v>1302</v>
      </c>
      <c r="B56" s="145" t="s">
        <v>75</v>
      </c>
      <c r="C56" s="145" t="s">
        <v>1589</v>
      </c>
      <c r="D56" s="136" t="s">
        <v>1128</v>
      </c>
      <c r="E56" s="154" t="s">
        <v>64</v>
      </c>
      <c r="F56" s="136" t="s">
        <v>706</v>
      </c>
      <c r="G56" s="145" t="s">
        <v>65</v>
      </c>
      <c r="H56" s="145" t="s">
        <v>1589</v>
      </c>
      <c r="I56" s="136" t="s">
        <v>1327</v>
      </c>
      <c r="J56" s="136">
        <v>20</v>
      </c>
      <c r="K56" s="154" t="s">
        <v>1590</v>
      </c>
      <c r="L56" s="185" t="s">
        <v>1591</v>
      </c>
      <c r="M56" s="136" t="s">
        <v>705</v>
      </c>
      <c r="N56" s="292"/>
      <c r="O56" s="13" t="str">
        <f>"COMMENT ON COLUMN PG_GOLD."&amp;G56&amp;"."&amp;H56&amp;" IS '"&amp;K56&amp;"';"</f>
        <v>COMMENT ON COLUMN PG_GOLD.INTF_LOAN_AR.DBT_WVR_F IS 'Đánh dấu cơ cấu miễn giảm lãi';</v>
      </c>
    </row>
    <row r="57" spans="1:27">
      <c r="A57" s="151" t="s">
        <v>1302</v>
      </c>
      <c r="B57" s="145" t="s">
        <v>75</v>
      </c>
      <c r="C57" s="136" t="s">
        <v>1592</v>
      </c>
      <c r="D57" s="136" t="s">
        <v>1128</v>
      </c>
      <c r="E57" s="154" t="s">
        <v>64</v>
      </c>
      <c r="F57" s="136" t="s">
        <v>663</v>
      </c>
      <c r="G57" s="145" t="s">
        <v>65</v>
      </c>
      <c r="H57" s="136" t="s">
        <v>1592</v>
      </c>
      <c r="I57" s="136" t="s">
        <v>1106</v>
      </c>
      <c r="J57" s="136">
        <v>22</v>
      </c>
      <c r="K57" s="154" t="s">
        <v>662</v>
      </c>
      <c r="L57" s="185" t="s">
        <v>1593</v>
      </c>
      <c r="M57" s="136" t="s">
        <v>707</v>
      </c>
      <c r="N57" s="292"/>
      <c r="O57" s="13" t="str">
        <f>"COMMENT ON COLUMN PG_GOLD."&amp;G57&amp;"."&amp;H57&amp;" IS '"&amp;K57&amp;"';"</f>
        <v>COMMENT ON COLUMN PG_GOLD.INTF_LOAN_AR.NBR_OF_DBT_RSTC IS 'Giá trị tương ứng với từng trường';</v>
      </c>
    </row>
    <row r="58" spans="1:27">
      <c r="A58" s="136" t="s">
        <v>1302</v>
      </c>
      <c r="B58" s="136" t="s">
        <v>70</v>
      </c>
      <c r="C58" s="145" t="s">
        <v>1594</v>
      </c>
      <c r="D58" s="136" t="s">
        <v>1128</v>
      </c>
      <c r="E58" s="154" t="s">
        <v>64</v>
      </c>
      <c r="F58" s="136" t="s">
        <v>1595</v>
      </c>
      <c r="G58" s="145" t="s">
        <v>65</v>
      </c>
      <c r="H58" s="162" t="s">
        <v>1596</v>
      </c>
      <c r="I58" s="136" t="s">
        <v>1327</v>
      </c>
      <c r="J58" s="136">
        <v>20</v>
      </c>
      <c r="K58" s="154" t="s">
        <v>1597</v>
      </c>
      <c r="L58" s="154" t="s">
        <v>1598</v>
      </c>
      <c r="M58" s="136" t="s">
        <v>427</v>
      </c>
      <c r="N58" s="292"/>
      <c r="O58" s="13" t="str">
        <f>"COMMENT ON COLUMN PG_GOLD."&amp;G58&amp;"."&amp;H58&amp;" IS '"&amp;K58&amp;"';"</f>
        <v>COMMENT ON COLUMN PG_GOLD.INTF_LOAN_AR.AR_PPS_BY_PD IS 'Mã sản phẩm theo mục đích vay';</v>
      </c>
    </row>
    <row r="59" spans="1:27">
      <c r="A59" s="136" t="s">
        <v>1302</v>
      </c>
      <c r="B59" s="136" t="s">
        <v>1599</v>
      </c>
      <c r="C59" s="127" t="s">
        <v>1600</v>
      </c>
      <c r="D59" s="136" t="s">
        <v>1128</v>
      </c>
      <c r="E59" s="154" t="s">
        <v>64</v>
      </c>
      <c r="F59" s="285" t="s">
        <v>1601</v>
      </c>
      <c r="G59" s="145" t="s">
        <v>65</v>
      </c>
      <c r="H59" s="146" t="s">
        <v>1602</v>
      </c>
      <c r="I59" s="136" t="s">
        <v>1106</v>
      </c>
      <c r="J59" s="136">
        <v>22</v>
      </c>
      <c r="K59" s="154" t="s">
        <v>1603</v>
      </c>
      <c r="L59" s="174" t="s">
        <v>1604</v>
      </c>
      <c r="M59" s="175" t="s">
        <v>1600</v>
      </c>
      <c r="N59" s="295"/>
      <c r="O59" s="23" t="str">
        <f>"COMMENT ON COLUMN PG_GOLD."&amp;G59&amp;"."&amp;H59&amp;" IS '"&amp;K59&amp;"';"</f>
        <v>COMMENT ON COLUMN PG_GOLD.INTF_LOAN_AR.DYS_IN_PNP_ARS IS 'Số ngày gốc quá hạn';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>
      <c r="A60" s="136" t="s">
        <v>1302</v>
      </c>
      <c r="B60" s="136" t="s">
        <v>1599</v>
      </c>
      <c r="C60" s="127" t="s">
        <v>1605</v>
      </c>
      <c r="D60" s="136" t="s">
        <v>1128</v>
      </c>
      <c r="E60" s="154" t="s">
        <v>64</v>
      </c>
      <c r="F60" s="285" t="s">
        <v>1606</v>
      </c>
      <c r="G60" s="145" t="s">
        <v>65</v>
      </c>
      <c r="H60" s="146" t="s">
        <v>1607</v>
      </c>
      <c r="I60" s="136" t="s">
        <v>1106</v>
      </c>
      <c r="J60" s="136">
        <v>22</v>
      </c>
      <c r="K60" s="154" t="s">
        <v>1608</v>
      </c>
      <c r="L60" s="174" t="s">
        <v>1609</v>
      </c>
      <c r="M60" s="175" t="s">
        <v>1605</v>
      </c>
      <c r="N60" s="295"/>
      <c r="O60" s="23" t="str">
        <f>"COMMENT ON COLUMN PG_GOLD."&amp;G60&amp;"."&amp;H60&amp;" IS '"&amp;K60&amp;"';"</f>
        <v>COMMENT ON COLUMN PG_GOLD.INTF_LOAN_AR.DYS_IN_INT_ARS IS 'Số́ ngày lãi quá hạn';</v>
      </c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>
      <c r="A61" s="136" t="s">
        <v>1302</v>
      </c>
      <c r="B61" s="136" t="s">
        <v>1512</v>
      </c>
      <c r="C61" s="127"/>
      <c r="D61" s="136" t="s">
        <v>1610</v>
      </c>
      <c r="E61" s="154" t="s">
        <v>64</v>
      </c>
      <c r="F61" s="258" t="s">
        <v>1611</v>
      </c>
      <c r="G61" s="145" t="s">
        <v>65</v>
      </c>
      <c r="H61" s="146" t="s">
        <v>1612</v>
      </c>
      <c r="I61" s="136" t="s">
        <v>1106</v>
      </c>
      <c r="J61" s="136">
        <v>32.5</v>
      </c>
      <c r="K61" s="154" t="s">
        <v>1613</v>
      </c>
      <c r="L61" s="159" t="s">
        <v>1614</v>
      </c>
      <c r="M61" s="175" t="s">
        <v>1615</v>
      </c>
      <c r="N61" s="295"/>
      <c r="O61" s="23" t="str">
        <f>"COMMENT ON COLUMN PG_GOLD."&amp;G61&amp;"."&amp;H61&amp;" IS '"&amp;K61&amp;"';"</f>
        <v>COMMENT ON COLUMN PG_GOLD.INTF_LOAN_AR.TOT_INT_ARS IS 'Tổng lãi phải trả';</v>
      </c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>
      <c r="A62" s="136" t="s">
        <v>1302</v>
      </c>
      <c r="B62" s="145" t="s">
        <v>203</v>
      </c>
      <c r="C62" s="145" t="s">
        <v>1285</v>
      </c>
      <c r="D62" s="136" t="s">
        <v>1128</v>
      </c>
      <c r="E62" s="154" t="s">
        <v>64</v>
      </c>
      <c r="F62" s="136" t="s">
        <v>1459</v>
      </c>
      <c r="G62" s="145" t="s">
        <v>65</v>
      </c>
      <c r="H62" s="145" t="s">
        <v>1285</v>
      </c>
      <c r="I62" s="136" t="s">
        <v>1079</v>
      </c>
      <c r="J62" s="136">
        <v>32</v>
      </c>
      <c r="K62" s="154" t="s">
        <v>1616</v>
      </c>
      <c r="L62" s="154" t="s">
        <v>1461</v>
      </c>
      <c r="M62" s="136" t="s">
        <v>1617</v>
      </c>
      <c r="N62" s="292" t="s">
        <v>1618</v>
      </c>
      <c r="O62" s="13" t="str">
        <f>"COMMENT ON COLUMN PG_GOLD."&amp;G62&amp;"."&amp;H62&amp;" IS '"&amp;K62&amp;"';"</f>
        <v>COMMENT ON COLUMN PG_GOLD.INTF_LOAN_AR.CST_ID IS 'ID của khách hàng';</v>
      </c>
    </row>
    <row r="63" spans="1:27">
      <c r="A63" s="169" t="s">
        <v>1302</v>
      </c>
      <c r="B63" s="167"/>
      <c r="C63" s="167"/>
      <c r="D63" s="169"/>
      <c r="E63" s="168" t="s">
        <v>64</v>
      </c>
      <c r="F63" s="169"/>
      <c r="G63" s="167" t="s">
        <v>65</v>
      </c>
      <c r="H63" s="167"/>
      <c r="I63" s="169"/>
      <c r="J63" s="169"/>
      <c r="K63" s="168"/>
      <c r="L63" s="168"/>
      <c r="M63" s="169" t="s">
        <v>514</v>
      </c>
      <c r="N63" s="296" t="s">
        <v>1618</v>
      </c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</row>
    <row r="64" spans="1:27">
      <c r="A64" s="151" t="s">
        <v>1302</v>
      </c>
      <c r="B64" s="151" t="s">
        <v>179</v>
      </c>
      <c r="C64" s="136" t="s">
        <v>1619</v>
      </c>
      <c r="D64" s="136" t="s">
        <v>1128</v>
      </c>
      <c r="E64" s="154" t="s">
        <v>64</v>
      </c>
      <c r="F64" s="136" t="s">
        <v>1620</v>
      </c>
      <c r="G64" s="145" t="s">
        <v>65</v>
      </c>
      <c r="H64" s="136" t="s">
        <v>1619</v>
      </c>
      <c r="I64" s="136" t="s">
        <v>1106</v>
      </c>
      <c r="J64" s="136">
        <v>25.5</v>
      </c>
      <c r="K64" s="154" t="s">
        <v>1621</v>
      </c>
      <c r="L64" s="176" t="s">
        <v>1622</v>
      </c>
      <c r="M64" s="136" t="s">
        <v>475</v>
      </c>
      <c r="N64" s="292"/>
      <c r="O64" s="13" t="str">
        <f>"COMMENT ON COLUMN PG_GOLD."&amp;G64&amp;"."&amp;H64&amp;" IS '"&amp;K64&amp;"';"</f>
        <v>COMMENT ON COLUMN PG_GOLD.INTF_LOAN_AR.MID_RATE IS 'Tỷ giá';</v>
      </c>
    </row>
    <row r="65" spans="1:27">
      <c r="A65" s="157" t="s">
        <v>1302</v>
      </c>
      <c r="B65" s="157"/>
      <c r="C65" s="160"/>
      <c r="D65" s="155" t="s">
        <v>1531</v>
      </c>
      <c r="E65" s="148" t="s">
        <v>64</v>
      </c>
      <c r="F65" s="157"/>
      <c r="G65" s="156" t="s">
        <v>65</v>
      </c>
      <c r="H65" s="157" t="s">
        <v>1623</v>
      </c>
      <c r="I65" s="157" t="s">
        <v>1106</v>
      </c>
      <c r="J65" s="157">
        <v>25.5</v>
      </c>
      <c r="K65" s="148"/>
      <c r="L65" s="148"/>
      <c r="M65" s="157" t="s">
        <v>457</v>
      </c>
      <c r="N65" s="297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157" t="s">
        <v>1302</v>
      </c>
      <c r="B66" s="157"/>
      <c r="C66" s="160"/>
      <c r="D66" s="155" t="s">
        <v>1531</v>
      </c>
      <c r="E66" s="148" t="s">
        <v>64</v>
      </c>
      <c r="F66" s="157"/>
      <c r="G66" s="156" t="s">
        <v>65</v>
      </c>
      <c r="H66" s="157" t="s">
        <v>1624</v>
      </c>
      <c r="I66" s="157" t="s">
        <v>1106</v>
      </c>
      <c r="J66" s="157">
        <v>25.5</v>
      </c>
      <c r="K66" s="148"/>
      <c r="L66" s="148"/>
      <c r="M66" s="157" t="s">
        <v>1625</v>
      </c>
      <c r="N66" s="297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136" t="s">
        <v>1302</v>
      </c>
      <c r="B67" s="136" t="s">
        <v>1505</v>
      </c>
      <c r="C67" s="154"/>
      <c r="D67" s="154" t="s">
        <v>1626</v>
      </c>
      <c r="E67" s="154" t="s">
        <v>64</v>
      </c>
      <c r="F67" s="258" t="s">
        <v>1627</v>
      </c>
      <c r="G67" s="145" t="s">
        <v>65</v>
      </c>
      <c r="H67" s="162" t="s">
        <v>1628</v>
      </c>
      <c r="I67" s="136" t="s">
        <v>1106</v>
      </c>
      <c r="J67" s="136">
        <v>22</v>
      </c>
      <c r="K67" s="154" t="s">
        <v>1629</v>
      </c>
      <c r="L67" s="154" t="s">
        <v>1630</v>
      </c>
      <c r="M67" s="136" t="s">
        <v>1631</v>
      </c>
      <c r="N67" s="292"/>
      <c r="O67" s="13" t="str">
        <f>"COMMENT ON COLUMN PG_GOLD."&amp;G67&amp;"."&amp;H67&amp;" IS '"&amp;K67&amp;"';"</f>
        <v>COMMENT ON COLUMN PG_GOLD.INTF_LOAN_AR.MX_DYS_IN_ARS IS 'Số ngày quá hạn cao nhất';</v>
      </c>
    </row>
    <row r="68" spans="1:27">
      <c r="A68" s="136" t="s">
        <v>1302</v>
      </c>
      <c r="B68" s="136" t="s">
        <v>1512</v>
      </c>
      <c r="C68" s="127" t="s">
        <v>1196</v>
      </c>
      <c r="D68" s="136" t="s">
        <v>1128</v>
      </c>
      <c r="E68" s="154" t="s">
        <v>64</v>
      </c>
      <c r="F68" s="258" t="s">
        <v>1195</v>
      </c>
      <c r="G68" s="145" t="s">
        <v>65</v>
      </c>
      <c r="H68" s="42" t="s">
        <v>1196</v>
      </c>
      <c r="I68" s="136" t="s">
        <v>1106</v>
      </c>
      <c r="J68" s="136">
        <v>32.5</v>
      </c>
      <c r="K68" s="154" t="s">
        <v>1632</v>
      </c>
      <c r="L68" s="159" t="s">
        <v>1633</v>
      </c>
      <c r="M68" s="136" t="s">
        <v>1634</v>
      </c>
      <c r="N68" s="292"/>
      <c r="O68" s="13" t="str">
        <f>"COMMENT ON COLUMN PG_GOLD."&amp;G68&amp;"."&amp;H68&amp;" IS '"&amp;K68&amp;"';"</f>
        <v>COMMENT ON COLUMN PG_GOLD.INTF_LOAN_AR.TOT_INT_PAID_AMT_FCY IS 'Tổng lãi đã trả';</v>
      </c>
    </row>
    <row r="69" spans="1:27">
      <c r="A69" s="177" t="s">
        <v>1302</v>
      </c>
      <c r="B69" s="177"/>
      <c r="C69" s="298"/>
      <c r="D69" s="177"/>
      <c r="E69" s="178" t="s">
        <v>64</v>
      </c>
      <c r="F69" s="177"/>
      <c r="G69" s="179" t="s">
        <v>65</v>
      </c>
      <c r="H69" s="298"/>
      <c r="I69" s="177"/>
      <c r="J69" s="177"/>
      <c r="K69" s="178"/>
      <c r="L69" s="178"/>
      <c r="M69" s="177" t="s">
        <v>1635</v>
      </c>
      <c r="N69" s="299" t="s">
        <v>1636</v>
      </c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</row>
    <row r="70" spans="1:27">
      <c r="A70" s="169" t="s">
        <v>1302</v>
      </c>
      <c r="B70" s="181"/>
      <c r="C70" s="181"/>
      <c r="D70" s="169"/>
      <c r="E70" s="168" t="s">
        <v>64</v>
      </c>
      <c r="F70" s="169"/>
      <c r="G70" s="167" t="s">
        <v>65</v>
      </c>
      <c r="H70" s="181"/>
      <c r="I70" s="169"/>
      <c r="J70" s="169"/>
      <c r="K70" s="168"/>
      <c r="L70" s="168"/>
      <c r="M70" s="169" t="s">
        <v>1637</v>
      </c>
      <c r="N70" s="296" t="s">
        <v>1618</v>
      </c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</row>
    <row r="71" spans="1:27">
      <c r="A71" s="151" t="s">
        <v>1302</v>
      </c>
      <c r="B71" s="151" t="s">
        <v>70</v>
      </c>
      <c r="C71" s="163" t="s">
        <v>1638</v>
      </c>
      <c r="D71" s="136" t="s">
        <v>1128</v>
      </c>
      <c r="E71" s="154" t="s">
        <v>64</v>
      </c>
      <c r="F71" s="292" t="s">
        <v>896</v>
      </c>
      <c r="G71" s="145" t="s">
        <v>65</v>
      </c>
      <c r="H71" s="163" t="s">
        <v>1638</v>
      </c>
      <c r="I71" s="136" t="s">
        <v>1327</v>
      </c>
      <c r="J71" s="153">
        <v>20</v>
      </c>
      <c r="K71" s="165" t="s">
        <v>895</v>
      </c>
      <c r="L71" s="165" t="s">
        <v>1639</v>
      </c>
      <c r="M71" s="136" t="s">
        <v>1640</v>
      </c>
      <c r="N71" s="292"/>
      <c r="O71" s="13" t="str">
        <f>"COMMENT ON COLUMN PG_GOLD."&amp;G71&amp;"."&amp;H71&amp;" IS '"&amp;K71&amp;"';"</f>
        <v>COMMENT ON COLUMN PG_GOLD.INTF_LOAN_AR.FCC_LMT_CODE IS 'Mã hạn mức trên Flexcube';</v>
      </c>
    </row>
    <row r="72" spans="1:27">
      <c r="A72" s="151" t="s">
        <v>1302</v>
      </c>
      <c r="B72" s="145" t="s">
        <v>75</v>
      </c>
      <c r="C72" s="145" t="s">
        <v>1377</v>
      </c>
      <c r="D72" s="136" t="s">
        <v>1128</v>
      </c>
      <c r="E72" s="154" t="s">
        <v>64</v>
      </c>
      <c r="F72" s="136" t="s">
        <v>772</v>
      </c>
      <c r="G72" s="145" t="s">
        <v>65</v>
      </c>
      <c r="H72" s="161" t="s">
        <v>1641</v>
      </c>
      <c r="I72" s="136" t="s">
        <v>1327</v>
      </c>
      <c r="J72" s="136">
        <v>20</v>
      </c>
      <c r="K72" s="154" t="s">
        <v>899</v>
      </c>
      <c r="L72" s="171" t="s">
        <v>1642</v>
      </c>
      <c r="M72" s="136" t="s">
        <v>604</v>
      </c>
      <c r="N72" s="292"/>
      <c r="O72" s="13" t="str">
        <f>"COMMENT ON COLUMN PG_GOLD."&amp;G72&amp;"."&amp;H72&amp;" IS '"&amp;K72&amp;"';"</f>
        <v>COMMENT ON COLUMN PG_GOLD.INTF_LOAN_AR.MAKER_OFCR_CODE
MAKER_OFCR IS 'ID người nhập liệu';</v>
      </c>
    </row>
    <row r="73" spans="1:27">
      <c r="A73" s="151" t="s">
        <v>1302</v>
      </c>
      <c r="B73" s="145" t="s">
        <v>75</v>
      </c>
      <c r="C73" s="145" t="s">
        <v>1353</v>
      </c>
      <c r="D73" s="136" t="s">
        <v>1128</v>
      </c>
      <c r="E73" s="154" t="s">
        <v>64</v>
      </c>
      <c r="F73" s="136" t="s">
        <v>854</v>
      </c>
      <c r="G73" s="145" t="s">
        <v>65</v>
      </c>
      <c r="H73" s="161" t="s">
        <v>1643</v>
      </c>
      <c r="I73" s="136" t="s">
        <v>1327</v>
      </c>
      <c r="J73" s="136">
        <v>20</v>
      </c>
      <c r="K73" s="154" t="s">
        <v>881</v>
      </c>
      <c r="L73" s="171" t="s">
        <v>1644</v>
      </c>
      <c r="M73" s="136" t="s">
        <v>596</v>
      </c>
      <c r="N73" s="292"/>
      <c r="O73" s="13" t="str">
        <f>"COMMENT ON COLUMN PG_GOLD."&amp;G73&amp;"."&amp;H73&amp;" IS '"&amp;K73&amp;"';"</f>
        <v>COMMENT ON COLUMN PG_GOLD.INTF_LOAN_AR.CHKER_OFCR_CODE
CHKER_OFCR IS 'Mã người phê duyệt';</v>
      </c>
    </row>
    <row r="74" spans="1:27">
      <c r="A74" s="169" t="s">
        <v>1302</v>
      </c>
      <c r="B74" s="169"/>
      <c r="C74" s="181"/>
      <c r="D74" s="169"/>
      <c r="E74" s="168" t="s">
        <v>64</v>
      </c>
      <c r="F74" s="169"/>
      <c r="G74" s="167" t="s">
        <v>65</v>
      </c>
      <c r="H74" s="181"/>
      <c r="I74" s="169"/>
      <c r="J74" s="169"/>
      <c r="K74" s="168"/>
      <c r="L74" s="168"/>
      <c r="M74" s="169" t="s">
        <v>551</v>
      </c>
      <c r="N74" s="296" t="s">
        <v>1618</v>
      </c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</row>
    <row r="75" spans="1:27">
      <c r="A75" s="151" t="s">
        <v>1302</v>
      </c>
      <c r="B75" s="151" t="s">
        <v>70</v>
      </c>
      <c r="C75" s="145" t="s">
        <v>1594</v>
      </c>
      <c r="D75" s="154" t="s">
        <v>1645</v>
      </c>
      <c r="E75" s="154" t="s">
        <v>64</v>
      </c>
      <c r="F75" s="127" t="s">
        <v>683</v>
      </c>
      <c r="G75" s="145" t="s">
        <v>65</v>
      </c>
      <c r="H75" s="145" t="s">
        <v>1594</v>
      </c>
      <c r="I75" s="136" t="s">
        <v>1327</v>
      </c>
      <c r="J75" s="153">
        <v>40</v>
      </c>
      <c r="K75" s="154" t="s">
        <v>387</v>
      </c>
      <c r="L75" s="182" t="s">
        <v>387</v>
      </c>
      <c r="M75" s="136" t="s">
        <v>618</v>
      </c>
      <c r="N75" s="292"/>
      <c r="O75" s="13" t="str">
        <f>"COMMENT ON COLUMN PG_GOLD."&amp;G75&amp;"."&amp;H75&amp;" IS '"&amp;K75&amp;"';"</f>
        <v>COMMENT ON COLUMN PG_GOLD.INTF_LOAN_AR.AR_PPS_TP_CODE IS 'Mã mục đích vay';</v>
      </c>
    </row>
    <row r="76" spans="1:27">
      <c r="A76" s="151" t="s">
        <v>1302</v>
      </c>
      <c r="B76" s="151" t="s">
        <v>70</v>
      </c>
      <c r="C76" s="145" t="s">
        <v>1646</v>
      </c>
      <c r="D76" s="136" t="s">
        <v>1128</v>
      </c>
      <c r="E76" s="154" t="s">
        <v>64</v>
      </c>
      <c r="F76" s="127" t="s">
        <v>932</v>
      </c>
      <c r="G76" s="145" t="s">
        <v>65</v>
      </c>
      <c r="H76" s="145" t="s">
        <v>1646</v>
      </c>
      <c r="I76" s="136" t="s">
        <v>1327</v>
      </c>
      <c r="J76" s="153">
        <v>40</v>
      </c>
      <c r="K76" s="154" t="s">
        <v>931</v>
      </c>
      <c r="L76" s="182" t="s">
        <v>931</v>
      </c>
      <c r="M76" s="136" t="s">
        <v>619</v>
      </c>
      <c r="N76" s="292"/>
      <c r="O76" s="13" t="str">
        <f>"COMMENT ON COLUMN PG_GOLD."&amp;G76&amp;"."&amp;H76&amp;" IS '"&amp;K76&amp;"';"</f>
        <v>COMMENT ON COLUMN PG_GOLD.INTF_LOAN_AR.AR_PPS_GRP_CODE IS 'Mã nhóm mục đích vay';</v>
      </c>
    </row>
    <row r="77" spans="1:27">
      <c r="A77" s="151" t="s">
        <v>1302</v>
      </c>
      <c r="B77" s="145" t="s">
        <v>75</v>
      </c>
      <c r="C77" s="136" t="s">
        <v>1647</v>
      </c>
      <c r="D77" s="136" t="s">
        <v>1128</v>
      </c>
      <c r="E77" s="154" t="s">
        <v>64</v>
      </c>
      <c r="F77" s="127" t="s">
        <v>676</v>
      </c>
      <c r="G77" s="145" t="s">
        <v>65</v>
      </c>
      <c r="H77" s="136" t="s">
        <v>1647</v>
      </c>
      <c r="I77" s="136" t="s">
        <v>1327</v>
      </c>
      <c r="J77" s="153">
        <v>40</v>
      </c>
      <c r="K77" s="154" t="s">
        <v>675</v>
      </c>
      <c r="L77" s="183" t="s">
        <v>1648</v>
      </c>
      <c r="M77" s="136" t="s">
        <v>425</v>
      </c>
      <c r="N77" s="292"/>
      <c r="O77" s="13" t="str">
        <f>"COMMENT ON COLUMN PG_GOLD."&amp;G77&amp;"."&amp;H77&amp;" IS '"&amp;K77&amp;"';"</f>
        <v>COMMENT ON COLUMN PG_GOLD.INTF_LOAN_AR.LOS_CTR_CODE IS 'mã hợp đồng vay';</v>
      </c>
    </row>
    <row r="78" spans="1:27">
      <c r="A78" s="151" t="s">
        <v>1302</v>
      </c>
      <c r="B78" s="145" t="s">
        <v>75</v>
      </c>
      <c r="C78" s="136" t="s">
        <v>1649</v>
      </c>
      <c r="D78" s="136" t="s">
        <v>1128</v>
      </c>
      <c r="E78" s="154" t="s">
        <v>64</v>
      </c>
      <c r="F78" s="136" t="s">
        <v>679</v>
      </c>
      <c r="G78" s="145" t="s">
        <v>65</v>
      </c>
      <c r="H78" s="136" t="s">
        <v>1649</v>
      </c>
      <c r="I78" s="136" t="s">
        <v>1327</v>
      </c>
      <c r="J78" s="153">
        <v>20</v>
      </c>
      <c r="K78" s="154" t="s">
        <v>678</v>
      </c>
      <c r="L78" s="183" t="s">
        <v>1650</v>
      </c>
      <c r="M78" s="136" t="s">
        <v>677</v>
      </c>
      <c r="N78" s="292"/>
      <c r="O78" s="13" t="str">
        <f>"COMMENT ON COLUMN PG_GOLD."&amp;G78&amp;"."&amp;H78&amp;" IS '"&amp;K78&amp;"';"</f>
        <v>COMMENT ON COLUMN PG_GOLD.INTF_LOAN_AR.LOS_CTR_ID IS 'mã hồ sơ trên LOS';</v>
      </c>
    </row>
    <row r="79" spans="1:27">
      <c r="A79" s="151" t="s">
        <v>1302</v>
      </c>
      <c r="B79" s="145" t="s">
        <v>75</v>
      </c>
      <c r="C79" s="136" t="s">
        <v>1651</v>
      </c>
      <c r="D79" s="136" t="s">
        <v>1128</v>
      </c>
      <c r="E79" s="154" t="s">
        <v>64</v>
      </c>
      <c r="F79" s="127" t="s">
        <v>722</v>
      </c>
      <c r="G79" s="145" t="s">
        <v>65</v>
      </c>
      <c r="H79" s="136" t="s">
        <v>1651</v>
      </c>
      <c r="I79" s="136" t="s">
        <v>1327</v>
      </c>
      <c r="J79" s="153">
        <v>1000</v>
      </c>
      <c r="K79" s="172" t="s">
        <v>1652</v>
      </c>
      <c r="L79" s="184" t="s">
        <v>1653</v>
      </c>
      <c r="M79" s="136" t="s">
        <v>1654</v>
      </c>
      <c r="N79" s="292" t="s">
        <v>1655</v>
      </c>
      <c r="O79" s="13" t="str">
        <f>"COMMENT ON COLUMN PG_GOLD."&amp;G79&amp;"."&amp;H79&amp;" IS '"&amp;K79&amp;"';"</f>
        <v>COMMENT ON COLUMN PG_GOLD.INTF_LOAN_AR.DBT_RSTC_TP_CODE IS 'Loại cơ cấu';</v>
      </c>
    </row>
    <row r="80" spans="1:27">
      <c r="A80" s="151" t="s">
        <v>1302</v>
      </c>
      <c r="B80" s="145" t="s">
        <v>75</v>
      </c>
      <c r="C80" s="136" t="s">
        <v>1656</v>
      </c>
      <c r="D80" s="136" t="s">
        <v>1128</v>
      </c>
      <c r="E80" s="154" t="s">
        <v>64</v>
      </c>
      <c r="F80" s="127" t="s">
        <v>1657</v>
      </c>
      <c r="G80" s="145" t="s">
        <v>65</v>
      </c>
      <c r="H80" s="136" t="s">
        <v>1656</v>
      </c>
      <c r="I80" s="136" t="s">
        <v>1327</v>
      </c>
      <c r="J80" s="153">
        <v>40</v>
      </c>
      <c r="K80" s="154" t="s">
        <v>1658</v>
      </c>
      <c r="L80" s="154" t="s">
        <v>1658</v>
      </c>
      <c r="M80" s="136" t="s">
        <v>1659</v>
      </c>
      <c r="N80" s="292"/>
      <c r="O80" s="13" t="str">
        <f>"COMMENT ON COLUMN PG_GOLD."&amp;G80&amp;"."&amp;H80&amp;" IS '"&amp;K80&amp;"';"</f>
        <v>COMMENT ON COLUMN PG_GOLD.INTF_LOAN_AR.CAR_AP_CODE IS 'Mã hồ sơ đăng ký vay vốn mua xe';</v>
      </c>
    </row>
    <row r="81" spans="1:27">
      <c r="A81" s="151" t="s">
        <v>1302</v>
      </c>
      <c r="B81" s="145" t="s">
        <v>75</v>
      </c>
      <c r="C81" s="136" t="s">
        <v>354</v>
      </c>
      <c r="D81" s="136" t="s">
        <v>1128</v>
      </c>
      <c r="E81" s="154" t="s">
        <v>64</v>
      </c>
      <c r="F81" s="127" t="s">
        <v>664</v>
      </c>
      <c r="G81" s="145" t="s">
        <v>65</v>
      </c>
      <c r="H81" s="136" t="s">
        <v>354</v>
      </c>
      <c r="I81" s="136" t="s">
        <v>1327</v>
      </c>
      <c r="J81" s="153">
        <v>20</v>
      </c>
      <c r="K81" s="154" t="s">
        <v>1660</v>
      </c>
      <c r="L81" s="154" t="s">
        <v>1661</v>
      </c>
      <c r="M81" s="136" t="s">
        <v>1662</v>
      </c>
      <c r="N81" s="292"/>
      <c r="O81" s="13" t="str">
        <f>"COMMENT ON COLUMN PG_GOLD."&amp;G81&amp;"."&amp;H81&amp;" IS '"&amp;K81&amp;"';"</f>
        <v>COMMENT ON COLUMN PG_GOLD.INTF_LOAN_AR.SCR_TP IS 'Loạ̣i hình chứng khoán';</v>
      </c>
    </row>
    <row r="82" spans="1:27">
      <c r="A82" s="151" t="s">
        <v>1302</v>
      </c>
      <c r="B82" s="145" t="s">
        <v>75</v>
      </c>
      <c r="C82" s="136" t="s">
        <v>1663</v>
      </c>
      <c r="D82" s="136" t="s">
        <v>1128</v>
      </c>
      <c r="E82" s="154" t="s">
        <v>64</v>
      </c>
      <c r="F82" s="127" t="s">
        <v>657</v>
      </c>
      <c r="G82" s="145" t="s">
        <v>65</v>
      </c>
      <c r="H82" s="136" t="s">
        <v>1663</v>
      </c>
      <c r="I82" s="136" t="s">
        <v>1327</v>
      </c>
      <c r="J82" s="153">
        <v>20</v>
      </c>
      <c r="K82" s="154" t="s">
        <v>656</v>
      </c>
      <c r="L82" s="159" t="s">
        <v>1664</v>
      </c>
      <c r="M82" s="136" t="s">
        <v>1665</v>
      </c>
      <c r="N82" s="292" t="s">
        <v>1655</v>
      </c>
      <c r="O82" s="13" t="str">
        <f>"COMMENT ON COLUMN PG_GOLD."&amp;G82&amp;"."&amp;H82&amp;" IS '"&amp;K82&amp;"';"</f>
        <v>COMMENT ON COLUMN PG_GOLD.INTF_LOAN_AR.MAND_REPYMT IS 'Giá trị UDF';</v>
      </c>
    </row>
    <row r="83" spans="1:27">
      <c r="A83" s="151" t="s">
        <v>1302</v>
      </c>
      <c r="B83" s="151" t="s">
        <v>70</v>
      </c>
      <c r="C83" s="164" t="s">
        <v>1666</v>
      </c>
      <c r="D83" s="136" t="s">
        <v>1128</v>
      </c>
      <c r="E83" s="154" t="s">
        <v>64</v>
      </c>
      <c r="F83" s="292" t="s">
        <v>915</v>
      </c>
      <c r="G83" s="145" t="s">
        <v>65</v>
      </c>
      <c r="H83" s="164" t="s">
        <v>1666</v>
      </c>
      <c r="I83" s="136" t="s">
        <v>1327</v>
      </c>
      <c r="J83" s="153">
        <v>40</v>
      </c>
      <c r="K83" s="154" t="s">
        <v>914</v>
      </c>
      <c r="L83" s="183" t="s">
        <v>1667</v>
      </c>
      <c r="M83" s="136" t="s">
        <v>611</v>
      </c>
      <c r="N83" s="292"/>
      <c r="O83" s="13" t="str">
        <f>"COMMENT ON COLUMN PG_GOLD."&amp;G83&amp;"."&amp;H83&amp;" IS '"&amp;K83&amp;"';"</f>
        <v>COMMENT ON COLUMN PG_GOLD.INTF_LOAN_AR.LOS_CTR_NBR IS 'Số hồ sơ';</v>
      </c>
    </row>
    <row r="84" spans="1:27">
      <c r="A84" s="151" t="s">
        <v>1302</v>
      </c>
      <c r="B84" s="145" t="s">
        <v>75</v>
      </c>
      <c r="C84" s="136" t="s">
        <v>1668</v>
      </c>
      <c r="D84" s="136" t="s">
        <v>1128</v>
      </c>
      <c r="E84" s="154" t="s">
        <v>64</v>
      </c>
      <c r="F84" s="136" t="s">
        <v>711</v>
      </c>
      <c r="G84" s="145" t="s">
        <v>65</v>
      </c>
      <c r="H84" s="136" t="s">
        <v>1668</v>
      </c>
      <c r="I84" s="136" t="s">
        <v>1327</v>
      </c>
      <c r="J84" s="153">
        <v>20</v>
      </c>
      <c r="K84" s="154" t="s">
        <v>710</v>
      </c>
      <c r="L84" s="182" t="s">
        <v>1669</v>
      </c>
      <c r="M84" s="136" t="s">
        <v>1670</v>
      </c>
      <c r="N84" s="292"/>
      <c r="O84" s="13" t="str">
        <f>"COMMENT ON COLUMN PG_GOLD."&amp;G84&amp;"."&amp;H84&amp;" IS '"&amp;K84&amp;"';"</f>
        <v>COMMENT ON COLUMN PG_GOLD.INTF_LOAN_AR.PROM_PRGM IS 'Mã chương trình KM cho vay';</v>
      </c>
    </row>
    <row r="85" spans="1:27">
      <c r="A85" s="151" t="s">
        <v>1302</v>
      </c>
      <c r="B85" s="145" t="s">
        <v>75</v>
      </c>
      <c r="C85" s="136" t="s">
        <v>1671</v>
      </c>
      <c r="D85" s="136" t="s">
        <v>1128</v>
      </c>
      <c r="E85" s="154" t="s">
        <v>64</v>
      </c>
      <c r="F85" s="136" t="s">
        <v>713</v>
      </c>
      <c r="G85" s="145" t="s">
        <v>65</v>
      </c>
      <c r="H85" s="136" t="s">
        <v>1671</v>
      </c>
      <c r="I85" s="136" t="s">
        <v>1327</v>
      </c>
      <c r="J85" s="153">
        <v>20</v>
      </c>
      <c r="K85" s="154" t="s">
        <v>712</v>
      </c>
      <c r="L85" s="182" t="s">
        <v>1672</v>
      </c>
      <c r="M85" s="136" t="s">
        <v>432</v>
      </c>
      <c r="N85" s="292"/>
      <c r="O85" s="13" t="str">
        <f>"COMMENT ON COLUMN PG_GOLD."&amp;G85&amp;"."&amp;H85&amp;" IS '"&amp;K85&amp;"';"</f>
        <v>COMMENT ON COLUMN PG_GOLD.INTF_LOAN_AR.PROM_PRGM_2 IS 'Mã CTKM2';</v>
      </c>
    </row>
    <row r="86" spans="1:27">
      <c r="A86" s="169" t="s">
        <v>1302</v>
      </c>
      <c r="B86" s="181"/>
      <c r="C86" s="181"/>
      <c r="D86" s="181"/>
      <c r="E86" s="168" t="s">
        <v>64</v>
      </c>
      <c r="F86" s="181"/>
      <c r="G86" s="167" t="s">
        <v>65</v>
      </c>
      <c r="H86" s="181"/>
      <c r="I86" s="181"/>
      <c r="J86" s="181"/>
      <c r="K86" s="168"/>
      <c r="L86" s="168"/>
      <c r="M86" s="169" t="s">
        <v>1673</v>
      </c>
      <c r="N86" s="296" t="s">
        <v>1618</v>
      </c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</row>
    <row r="87" spans="1:27">
      <c r="A87" s="151" t="s">
        <v>1302</v>
      </c>
      <c r="B87" s="145" t="s">
        <v>75</v>
      </c>
      <c r="C87" s="136" t="s">
        <v>1674</v>
      </c>
      <c r="D87" s="127" t="s">
        <v>1128</v>
      </c>
      <c r="E87" s="154" t="s">
        <v>64</v>
      </c>
      <c r="F87" s="127" t="s">
        <v>724</v>
      </c>
      <c r="G87" s="145" t="s">
        <v>65</v>
      </c>
      <c r="H87" s="136" t="s">
        <v>1674</v>
      </c>
      <c r="I87" s="127" t="s">
        <v>519</v>
      </c>
      <c r="J87" s="127"/>
      <c r="K87" s="154" t="s">
        <v>1675</v>
      </c>
      <c r="L87" s="185" t="s">
        <v>1676</v>
      </c>
      <c r="M87" s="136" t="s">
        <v>1677</v>
      </c>
      <c r="N87" s="292"/>
      <c r="O87" s="13" t="str">
        <f>"COMMENT ON COLUMN PG_GOLD."&amp;G87&amp;"."&amp;H87&amp;" IS '"&amp;K87&amp;"';"</f>
        <v>COMMENT ON COLUMN PG_GOLD.INTF_LOAN_AR.COVID19_RSTC_COMPL_DT IS 'Ngày hết hạn cơ cấu';</v>
      </c>
    </row>
    <row r="88" spans="1:27">
      <c r="A88" s="157" t="s">
        <v>1302</v>
      </c>
      <c r="B88" s="160"/>
      <c r="C88" s="160"/>
      <c r="D88" s="160" t="s">
        <v>1535</v>
      </c>
      <c r="E88" s="148" t="s">
        <v>64</v>
      </c>
      <c r="F88" s="160"/>
      <c r="G88" s="156" t="s">
        <v>65</v>
      </c>
      <c r="H88" s="160" t="s">
        <v>1678</v>
      </c>
      <c r="I88" s="160" t="s">
        <v>519</v>
      </c>
      <c r="J88" s="160"/>
      <c r="K88" s="148" t="s">
        <v>1679</v>
      </c>
      <c r="L88" s="148"/>
      <c r="M88" s="157" t="s">
        <v>1678</v>
      </c>
      <c r="N88" s="297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157" t="s">
        <v>1302</v>
      </c>
      <c r="B89" s="160"/>
      <c r="C89" s="160"/>
      <c r="D89" s="160" t="s">
        <v>1535</v>
      </c>
      <c r="E89" s="148" t="s">
        <v>64</v>
      </c>
      <c r="F89" s="160"/>
      <c r="G89" s="156" t="s">
        <v>65</v>
      </c>
      <c r="H89" s="160" t="s">
        <v>1680</v>
      </c>
      <c r="I89" s="160" t="s">
        <v>1106</v>
      </c>
      <c r="J89" s="160">
        <v>25.5</v>
      </c>
      <c r="K89" s="148" t="s">
        <v>1681</v>
      </c>
      <c r="L89" s="148"/>
      <c r="M89" s="157" t="s">
        <v>1680</v>
      </c>
      <c r="N89" s="297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157" t="s">
        <v>1302</v>
      </c>
      <c r="B90" s="160"/>
      <c r="C90" s="160"/>
      <c r="D90" s="160" t="s">
        <v>1535</v>
      </c>
      <c r="E90" s="148" t="s">
        <v>64</v>
      </c>
      <c r="F90" s="160"/>
      <c r="G90" s="156" t="s">
        <v>65</v>
      </c>
      <c r="H90" s="160" t="s">
        <v>1682</v>
      </c>
      <c r="I90" s="160" t="s">
        <v>519</v>
      </c>
      <c r="J90" s="160"/>
      <c r="K90" s="148" t="s">
        <v>1683</v>
      </c>
      <c r="L90" s="148"/>
      <c r="M90" s="157" t="s">
        <v>1682</v>
      </c>
      <c r="N90" s="297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spans="1:27">
      <c r="A91" s="169" t="s">
        <v>1302</v>
      </c>
      <c r="B91" s="181"/>
      <c r="C91" s="181"/>
      <c r="D91" s="181"/>
      <c r="E91" s="168" t="s">
        <v>64</v>
      </c>
      <c r="F91" s="181"/>
      <c r="G91" s="167" t="s">
        <v>65</v>
      </c>
      <c r="H91" s="181"/>
      <c r="I91" s="181"/>
      <c r="J91" s="181"/>
      <c r="K91" s="168"/>
      <c r="L91" s="168"/>
      <c r="M91" s="169" t="s">
        <v>1684</v>
      </c>
      <c r="N91" s="296" t="s">
        <v>1618</v>
      </c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</row>
    <row r="92" spans="1:27">
      <c r="A92" s="169" t="s">
        <v>1302</v>
      </c>
      <c r="B92" s="181"/>
      <c r="C92" s="181"/>
      <c r="D92" s="181"/>
      <c r="E92" s="168" t="s">
        <v>64</v>
      </c>
      <c r="F92" s="181"/>
      <c r="G92" s="167" t="s">
        <v>65</v>
      </c>
      <c r="H92" s="181"/>
      <c r="I92" s="181"/>
      <c r="J92" s="181"/>
      <c r="K92" s="168"/>
      <c r="L92" s="168"/>
      <c r="M92" s="169" t="s">
        <v>1685</v>
      </c>
      <c r="N92" s="296" t="s">
        <v>1618</v>
      </c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</row>
    <row r="93" spans="1:27">
      <c r="A93" s="136" t="s">
        <v>1302</v>
      </c>
      <c r="B93" s="127"/>
      <c r="C93" s="127"/>
      <c r="D93" s="154" t="s">
        <v>1686</v>
      </c>
      <c r="E93" s="154" t="s">
        <v>64</v>
      </c>
      <c r="F93" s="258" t="s">
        <v>1687</v>
      </c>
      <c r="G93" s="145" t="s">
        <v>65</v>
      </c>
      <c r="H93" s="162" t="s">
        <v>1688</v>
      </c>
      <c r="I93" s="127" t="s">
        <v>1106</v>
      </c>
      <c r="J93" s="127">
        <v>25.5</v>
      </c>
      <c r="K93" s="154" t="s">
        <v>1689</v>
      </c>
      <c r="L93" s="154" t="s">
        <v>1690</v>
      </c>
      <c r="M93" s="136" t="s">
        <v>1691</v>
      </c>
      <c r="N93" s="292"/>
      <c r="O93" s="13" t="str">
        <f>"COMMENT ON COLUMN PG_GOLD."&amp;G93&amp;"."&amp;H93&amp;" IS '"&amp;K93&amp;"';"</f>
        <v>COMMENT ON COLUMN PG_GOLD.INTF_LOAN_AR.TOT_ACR_INT_DUE_AMT IS 'Lãi dự thu trong hạn';</v>
      </c>
    </row>
    <row r="94" spans="1:27">
      <c r="A94" s="169" t="s">
        <v>1302</v>
      </c>
      <c r="B94" s="181"/>
      <c r="C94" s="181"/>
      <c r="D94" s="168" t="s">
        <v>1686</v>
      </c>
      <c r="E94" s="168" t="s">
        <v>64</v>
      </c>
      <c r="F94" s="181"/>
      <c r="G94" s="167" t="s">
        <v>65</v>
      </c>
      <c r="H94" s="186"/>
      <c r="I94" s="181" t="s">
        <v>1106</v>
      </c>
      <c r="J94" s="181">
        <v>25.5</v>
      </c>
      <c r="K94" s="168" t="s">
        <v>1692</v>
      </c>
      <c r="L94" s="187" t="s">
        <v>1693</v>
      </c>
      <c r="M94" s="169" t="s">
        <v>1694</v>
      </c>
      <c r="N94" s="296" t="s">
        <v>1695</v>
      </c>
      <c r="O94" s="43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</row>
    <row r="95" spans="1:27">
      <c r="A95" s="157" t="s">
        <v>1302</v>
      </c>
      <c r="B95" s="160"/>
      <c r="C95" s="160"/>
      <c r="D95" s="160" t="s">
        <v>1535</v>
      </c>
      <c r="E95" s="148" t="s">
        <v>64</v>
      </c>
      <c r="F95" s="160"/>
      <c r="G95" s="156" t="s">
        <v>65</v>
      </c>
      <c r="H95" s="160" t="s">
        <v>1696</v>
      </c>
      <c r="I95" s="160" t="s">
        <v>1106</v>
      </c>
      <c r="J95" s="160">
        <v>25.5</v>
      </c>
      <c r="K95" s="148"/>
      <c r="L95" s="148"/>
      <c r="M95" s="157" t="s">
        <v>1696</v>
      </c>
      <c r="N95" s="297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spans="1:27">
      <c r="A96" s="151" t="s">
        <v>1302</v>
      </c>
      <c r="B96" s="127" t="s">
        <v>108</v>
      </c>
      <c r="C96" s="127" t="s">
        <v>1697</v>
      </c>
      <c r="D96" s="127" t="s">
        <v>1128</v>
      </c>
      <c r="E96" s="154" t="s">
        <v>64</v>
      </c>
      <c r="F96" s="258" t="s">
        <v>770</v>
      </c>
      <c r="G96" s="145" t="s">
        <v>65</v>
      </c>
      <c r="H96" s="127" t="s">
        <v>1697</v>
      </c>
      <c r="I96" s="311" t="s">
        <v>1327</v>
      </c>
      <c r="J96" s="60">
        <v>255</v>
      </c>
      <c r="K96" s="154" t="s">
        <v>1698</v>
      </c>
      <c r="L96" s="154" t="s">
        <v>769</v>
      </c>
      <c r="M96" s="136" t="s">
        <v>528</v>
      </c>
      <c r="N96" s="292"/>
      <c r="O96" s="13" t="str">
        <f>"COMMENT ON COLUMN PG_GOLD."&amp;G96&amp;"."&amp;H96&amp;" IS '"&amp;K96&amp;"';"</f>
        <v>COMMENT ON COLUMN PG_GOLD.INTF_LOAN_AR.OU_NM IS 'Tên chi nhánh';</v>
      </c>
    </row>
    <row r="97" spans="1:27">
      <c r="A97" s="136" t="s">
        <v>1302</v>
      </c>
      <c r="B97" s="188" t="s">
        <v>1505</v>
      </c>
      <c r="C97" s="300" t="s">
        <v>632</v>
      </c>
      <c r="D97" s="300" t="s">
        <v>1699</v>
      </c>
      <c r="E97" s="154" t="s">
        <v>64</v>
      </c>
      <c r="F97" s="258" t="s">
        <v>1113</v>
      </c>
      <c r="G97" s="145" t="s">
        <v>65</v>
      </c>
      <c r="H97" s="127" t="s">
        <v>1114</v>
      </c>
      <c r="I97" s="127" t="s">
        <v>1106</v>
      </c>
      <c r="J97" s="127">
        <v>22</v>
      </c>
      <c r="K97" s="154" t="s">
        <v>1700</v>
      </c>
      <c r="L97" s="174" t="s">
        <v>956</v>
      </c>
      <c r="M97" s="136" t="s">
        <v>632</v>
      </c>
      <c r="N97" s="292"/>
      <c r="O97" s="13" t="str">
        <f>"COMMENT ON COLUMN PG_GOLD."&amp;G97&amp;"."&amp;H97&amp;" IS '"&amp;K97&amp;"';"</f>
        <v>COMMENT ON COLUMN PG_GOLD.INTF_LOAN_AR.ADDITION_DYS_IN_ARS IS 'Số ngày quá hạn chuyển đổi';</v>
      </c>
    </row>
    <row r="98" spans="1:27">
      <c r="A98" s="157" t="s">
        <v>1302</v>
      </c>
      <c r="B98" s="160"/>
      <c r="C98" s="160"/>
      <c r="D98" s="160" t="s">
        <v>1535</v>
      </c>
      <c r="E98" s="148" t="s">
        <v>64</v>
      </c>
      <c r="F98" s="160"/>
      <c r="G98" s="156" t="s">
        <v>65</v>
      </c>
      <c r="H98" s="160" t="s">
        <v>687</v>
      </c>
      <c r="I98" s="157" t="s">
        <v>1327</v>
      </c>
      <c r="J98" s="160">
        <v>20</v>
      </c>
      <c r="K98" s="148"/>
      <c r="L98" s="148"/>
      <c r="M98" s="157" t="s">
        <v>687</v>
      </c>
      <c r="N98" s="297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spans="1:27">
      <c r="A99" s="151" t="s">
        <v>1302</v>
      </c>
      <c r="B99" s="145" t="s">
        <v>203</v>
      </c>
      <c r="C99" s="136" t="s">
        <v>1485</v>
      </c>
      <c r="D99" s="136" t="s">
        <v>1128</v>
      </c>
      <c r="E99" s="154" t="s">
        <v>64</v>
      </c>
      <c r="F99" s="127" t="s">
        <v>1486</v>
      </c>
      <c r="G99" s="145" t="s">
        <v>65</v>
      </c>
      <c r="H99" s="136" t="s">
        <v>1485</v>
      </c>
      <c r="I99" s="136" t="s">
        <v>1327</v>
      </c>
      <c r="J99" s="153">
        <v>20</v>
      </c>
      <c r="K99" s="154" t="s">
        <v>758</v>
      </c>
      <c r="L99" s="154" t="s">
        <v>1487</v>
      </c>
      <c r="M99" s="136" t="s">
        <v>522</v>
      </c>
      <c r="N99" s="292"/>
      <c r="O99" s="13" t="str">
        <f>"COMMENT ON COLUMN PG_GOLD."&amp;G99&amp;"."&amp;H99&amp;" IS '"&amp;K99&amp;"';"</f>
        <v>COMMENT ON COLUMN PG_GOLD.INTF_LOAN_AR.GL_ITM_CODE IS 'Mã hạch toán theo SBV';</v>
      </c>
    </row>
    <row r="100" spans="1:27">
      <c r="A100" s="169" t="s">
        <v>1302</v>
      </c>
      <c r="B100" s="181"/>
      <c r="C100" s="181"/>
      <c r="D100" s="181"/>
      <c r="E100" s="168" t="s">
        <v>64</v>
      </c>
      <c r="F100" s="181"/>
      <c r="G100" s="167" t="s">
        <v>65</v>
      </c>
      <c r="H100" s="181"/>
      <c r="I100" s="181"/>
      <c r="J100" s="181"/>
      <c r="K100" s="168"/>
      <c r="L100" s="168"/>
      <c r="M100" s="169" t="s">
        <v>642</v>
      </c>
      <c r="N100" s="296" t="s">
        <v>1618</v>
      </c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</row>
    <row r="101" spans="1:27">
      <c r="E101" s="44"/>
      <c r="K101" s="44"/>
      <c r="L101" s="44"/>
    </row>
    <row r="102" spans="1:27">
      <c r="E102" s="44"/>
      <c r="K102" s="44"/>
      <c r="L102" s="44"/>
    </row>
    <row r="103" spans="1:27">
      <c r="E103" s="44"/>
      <c r="K103" s="44"/>
      <c r="L103" s="44"/>
    </row>
    <row r="104" spans="1:27">
      <c r="E104" s="44"/>
      <c r="K104" s="44"/>
      <c r="L104" s="44"/>
    </row>
    <row r="105" spans="1:27">
      <c r="E105" s="44"/>
      <c r="K105" s="44"/>
      <c r="L105" s="44"/>
    </row>
    <row r="106" spans="1:27">
      <c r="E106" s="44"/>
      <c r="K106" s="44"/>
      <c r="L106" s="44"/>
    </row>
    <row r="107" spans="1:27">
      <c r="E107" s="44"/>
      <c r="K107" s="44"/>
      <c r="L107" s="44"/>
    </row>
    <row r="108" spans="1:27">
      <c r="E108" s="44"/>
      <c r="K108" s="44"/>
      <c r="L108" s="44"/>
    </row>
    <row r="109" spans="1:27">
      <c r="E109" s="44"/>
      <c r="K109" s="44"/>
      <c r="L109" s="44"/>
    </row>
    <row r="110" spans="1:27">
      <c r="E110" s="44"/>
      <c r="K110" s="44"/>
      <c r="L110" s="44"/>
    </row>
    <row r="111" spans="1:27">
      <c r="E111" s="44"/>
      <c r="K111" s="44"/>
      <c r="L111" s="44"/>
    </row>
    <row r="112" spans="1:27">
      <c r="E112" s="44"/>
      <c r="K112" s="44"/>
      <c r="L112" s="44"/>
    </row>
    <row r="113" spans="5:12">
      <c r="E113" s="44"/>
      <c r="K113" s="44"/>
      <c r="L113" s="44"/>
    </row>
    <row r="114" spans="5:12">
      <c r="E114" s="44"/>
      <c r="K114" s="44"/>
      <c r="L114" s="44"/>
    </row>
    <row r="115" spans="5:12">
      <c r="E115" s="44"/>
      <c r="K115" s="44"/>
      <c r="L115" s="44"/>
    </row>
    <row r="116" spans="5:12">
      <c r="E116" s="44"/>
      <c r="K116" s="44"/>
      <c r="L116" s="44"/>
    </row>
    <row r="117" spans="5:12">
      <c r="E117" s="44"/>
      <c r="K117" s="44"/>
      <c r="L117" s="44"/>
    </row>
    <row r="118" spans="5:12">
      <c r="E118" s="44"/>
      <c r="K118" s="44"/>
      <c r="L118" s="44"/>
    </row>
    <row r="119" spans="5:12">
      <c r="E119" s="44"/>
      <c r="K119" s="44"/>
      <c r="L119" s="44"/>
    </row>
    <row r="120" spans="5:12">
      <c r="E120" s="44"/>
      <c r="K120" s="44"/>
      <c r="L120" s="44"/>
    </row>
    <row r="121" spans="5:12">
      <c r="E121" s="44"/>
      <c r="K121" s="44"/>
      <c r="L121" s="44"/>
    </row>
    <row r="122" spans="5:12">
      <c r="E122" s="44"/>
      <c r="K122" s="44"/>
      <c r="L122" s="44"/>
    </row>
    <row r="123" spans="5:12">
      <c r="E123" s="44"/>
      <c r="K123" s="44"/>
      <c r="L123" s="44"/>
    </row>
    <row r="124" spans="5:12">
      <c r="E124" s="44"/>
      <c r="K124" s="44"/>
      <c r="L124" s="44"/>
    </row>
    <row r="125" spans="5:12">
      <c r="E125" s="44"/>
      <c r="K125" s="44"/>
      <c r="L125" s="44"/>
    </row>
    <row r="126" spans="5:12">
      <c r="E126" s="44"/>
      <c r="K126" s="44"/>
      <c r="L126" s="44"/>
    </row>
    <row r="127" spans="5:12">
      <c r="E127" s="44"/>
      <c r="K127" s="44"/>
      <c r="L127" s="44"/>
    </row>
    <row r="128" spans="5:12">
      <c r="E128" s="44"/>
      <c r="K128" s="44"/>
      <c r="L128" s="44"/>
    </row>
    <row r="129" spans="5:12">
      <c r="E129" s="44"/>
      <c r="K129" s="44"/>
      <c r="L129" s="44"/>
    </row>
    <row r="130" spans="5:12">
      <c r="E130" s="44"/>
      <c r="K130" s="44"/>
      <c r="L130" s="44"/>
    </row>
    <row r="131" spans="5:12">
      <c r="E131" s="44"/>
      <c r="K131" s="44"/>
      <c r="L131" s="44"/>
    </row>
    <row r="132" spans="5:12">
      <c r="E132" s="44"/>
      <c r="K132" s="44"/>
      <c r="L132" s="44"/>
    </row>
    <row r="133" spans="5:12">
      <c r="E133" s="44"/>
      <c r="K133" s="44"/>
      <c r="L133" s="44"/>
    </row>
    <row r="134" spans="5:12">
      <c r="E134" s="44"/>
      <c r="K134" s="44"/>
      <c r="L134" s="44"/>
    </row>
    <row r="135" spans="5:12">
      <c r="E135" s="44"/>
      <c r="K135" s="44"/>
      <c r="L135" s="44"/>
    </row>
    <row r="136" spans="5:12">
      <c r="E136" s="44"/>
      <c r="K136" s="44"/>
      <c r="L136" s="44"/>
    </row>
    <row r="137" spans="5:12">
      <c r="E137" s="44"/>
      <c r="K137" s="44"/>
      <c r="L137" s="44"/>
    </row>
    <row r="138" spans="5:12">
      <c r="E138" s="44"/>
      <c r="K138" s="44"/>
      <c r="L138" s="44"/>
    </row>
    <row r="139" spans="5:12">
      <c r="E139" s="44"/>
      <c r="K139" s="44"/>
      <c r="L139" s="44"/>
    </row>
    <row r="140" spans="5:12">
      <c r="E140" s="44"/>
      <c r="K140" s="44"/>
      <c r="L140" s="44"/>
    </row>
    <row r="141" spans="5:12">
      <c r="E141" s="44"/>
      <c r="K141" s="44"/>
      <c r="L141" s="44"/>
    </row>
    <row r="142" spans="5:12">
      <c r="E142" s="44"/>
      <c r="K142" s="44"/>
      <c r="L142" s="44"/>
    </row>
    <row r="143" spans="5:12">
      <c r="E143" s="44"/>
      <c r="K143" s="44"/>
      <c r="L143" s="44"/>
    </row>
    <row r="144" spans="5:12">
      <c r="E144" s="44"/>
      <c r="K144" s="44"/>
      <c r="L144" s="44"/>
    </row>
    <row r="145" spans="5:12">
      <c r="E145" s="44"/>
      <c r="K145" s="44"/>
      <c r="L145" s="44"/>
    </row>
    <row r="146" spans="5:12">
      <c r="E146" s="44"/>
      <c r="K146" s="44"/>
      <c r="L146" s="44"/>
    </row>
    <row r="147" spans="5:12">
      <c r="E147" s="44"/>
      <c r="K147" s="44"/>
      <c r="L147" s="44"/>
    </row>
    <row r="148" spans="5:12">
      <c r="E148" s="44"/>
      <c r="K148" s="44"/>
      <c r="L148" s="44"/>
    </row>
    <row r="149" spans="5:12">
      <c r="E149" s="44"/>
      <c r="K149" s="44"/>
      <c r="L149" s="44"/>
    </row>
    <row r="150" spans="5:12">
      <c r="E150" s="44"/>
      <c r="K150" s="44"/>
      <c r="L150" s="44"/>
    </row>
    <row r="151" spans="5:12">
      <c r="E151" s="44"/>
      <c r="K151" s="44"/>
      <c r="L151" s="44"/>
    </row>
    <row r="152" spans="5:12">
      <c r="E152" s="44"/>
      <c r="K152" s="44"/>
      <c r="L152" s="44"/>
    </row>
    <row r="153" spans="5:12">
      <c r="E153" s="44"/>
      <c r="K153" s="44"/>
      <c r="L153" s="44"/>
    </row>
    <row r="154" spans="5:12">
      <c r="E154" s="44"/>
      <c r="K154" s="44"/>
      <c r="L154" s="44"/>
    </row>
    <row r="155" spans="5:12">
      <c r="E155" s="44"/>
      <c r="K155" s="44"/>
      <c r="L155" s="44"/>
    </row>
    <row r="156" spans="5:12">
      <c r="E156" s="44"/>
      <c r="K156" s="44"/>
      <c r="L156" s="44"/>
    </row>
    <row r="157" spans="5:12">
      <c r="E157" s="44"/>
      <c r="K157" s="44"/>
      <c r="L157" s="44"/>
    </row>
    <row r="158" spans="5:12">
      <c r="E158" s="44"/>
      <c r="K158" s="44"/>
      <c r="L158" s="44"/>
    </row>
    <row r="159" spans="5:12">
      <c r="E159" s="44"/>
      <c r="K159" s="44"/>
      <c r="L159" s="44"/>
    </row>
    <row r="160" spans="5:12">
      <c r="E160" s="44"/>
      <c r="K160" s="44"/>
      <c r="L160" s="44"/>
    </row>
    <row r="161" spans="5:12">
      <c r="E161" s="44"/>
      <c r="K161" s="44"/>
      <c r="L161" s="44"/>
    </row>
    <row r="162" spans="5:12">
      <c r="E162" s="44"/>
      <c r="K162" s="44"/>
      <c r="L162" s="44"/>
    </row>
    <row r="163" spans="5:12">
      <c r="E163" s="44"/>
      <c r="K163" s="44"/>
      <c r="L163" s="44"/>
    </row>
    <row r="164" spans="5:12">
      <c r="E164" s="44"/>
      <c r="K164" s="44"/>
      <c r="L164" s="44"/>
    </row>
    <row r="165" spans="5:12">
      <c r="E165" s="44"/>
      <c r="K165" s="44"/>
      <c r="L165" s="44"/>
    </row>
    <row r="166" spans="5:12">
      <c r="E166" s="44"/>
      <c r="K166" s="44"/>
      <c r="L166" s="44"/>
    </row>
    <row r="167" spans="5:12">
      <c r="E167" s="44"/>
      <c r="K167" s="44"/>
      <c r="L167" s="44"/>
    </row>
    <row r="168" spans="5:12">
      <c r="E168" s="44"/>
      <c r="K168" s="44"/>
      <c r="L168" s="44"/>
    </row>
    <row r="169" spans="5:12">
      <c r="E169" s="44"/>
      <c r="K169" s="44"/>
      <c r="L169" s="44"/>
    </row>
    <row r="170" spans="5:12">
      <c r="E170" s="44"/>
      <c r="K170" s="44"/>
      <c r="L170" s="44"/>
    </row>
    <row r="171" spans="5:12">
      <c r="E171" s="44"/>
      <c r="K171" s="44"/>
      <c r="L171" s="44"/>
    </row>
    <row r="172" spans="5:12">
      <c r="E172" s="44"/>
      <c r="K172" s="44"/>
      <c r="L172" s="44"/>
    </row>
    <row r="173" spans="5:12">
      <c r="E173" s="44"/>
      <c r="K173" s="44"/>
      <c r="L173" s="44"/>
    </row>
    <row r="174" spans="5:12">
      <c r="E174" s="44"/>
      <c r="K174" s="44"/>
      <c r="L174" s="44"/>
    </row>
    <row r="175" spans="5:12">
      <c r="E175" s="44"/>
      <c r="K175" s="44"/>
      <c r="L175" s="44"/>
    </row>
    <row r="176" spans="5:12">
      <c r="E176" s="44"/>
      <c r="K176" s="44"/>
      <c r="L176" s="44"/>
    </row>
    <row r="177" spans="5:12">
      <c r="E177" s="44"/>
      <c r="K177" s="44"/>
      <c r="L177" s="44"/>
    </row>
    <row r="178" spans="5:12">
      <c r="E178" s="44"/>
      <c r="K178" s="44"/>
      <c r="L178" s="44"/>
    </row>
    <row r="179" spans="5:12">
      <c r="E179" s="44"/>
      <c r="K179" s="44"/>
      <c r="L179" s="44"/>
    </row>
    <row r="180" spans="5:12">
      <c r="E180" s="44"/>
      <c r="K180" s="44"/>
      <c r="L180" s="44"/>
    </row>
    <row r="181" spans="5:12">
      <c r="E181" s="44"/>
      <c r="K181" s="44"/>
      <c r="L181" s="44"/>
    </row>
    <row r="182" spans="5:12">
      <c r="E182" s="44"/>
      <c r="K182" s="44"/>
      <c r="L182" s="44"/>
    </row>
    <row r="183" spans="5:12">
      <c r="E183" s="44"/>
      <c r="K183" s="44"/>
      <c r="L183" s="44"/>
    </row>
    <row r="184" spans="5:12">
      <c r="E184" s="44"/>
      <c r="K184" s="44"/>
      <c r="L184" s="44"/>
    </row>
    <row r="185" spans="5:12">
      <c r="E185" s="44"/>
      <c r="K185" s="44"/>
      <c r="L185" s="44"/>
    </row>
    <row r="186" spans="5:12">
      <c r="E186" s="44"/>
      <c r="K186" s="44"/>
      <c r="L186" s="44"/>
    </row>
    <row r="187" spans="5:12">
      <c r="E187" s="44"/>
      <c r="K187" s="44"/>
      <c r="L187" s="44"/>
    </row>
    <row r="188" spans="5:12">
      <c r="E188" s="44"/>
      <c r="K188" s="44"/>
      <c r="L188" s="44"/>
    </row>
    <row r="189" spans="5:12">
      <c r="E189" s="44"/>
      <c r="K189" s="44"/>
      <c r="L189" s="44"/>
    </row>
    <row r="190" spans="5:12">
      <c r="E190" s="44"/>
      <c r="K190" s="44"/>
      <c r="L190" s="44"/>
    </row>
    <row r="191" spans="5:12">
      <c r="E191" s="44"/>
      <c r="K191" s="44"/>
      <c r="L191" s="44"/>
    </row>
    <row r="192" spans="5:12">
      <c r="E192" s="44"/>
      <c r="K192" s="44"/>
      <c r="L192" s="44"/>
    </row>
    <row r="193" spans="5:12">
      <c r="E193" s="44"/>
      <c r="K193" s="44"/>
      <c r="L193" s="44"/>
    </row>
    <row r="194" spans="5:12">
      <c r="E194" s="44"/>
      <c r="K194" s="44"/>
      <c r="L194" s="44"/>
    </row>
    <row r="195" spans="5:12">
      <c r="E195" s="44"/>
      <c r="K195" s="44"/>
      <c r="L195" s="44"/>
    </row>
    <row r="196" spans="5:12">
      <c r="E196" s="44"/>
      <c r="K196" s="44"/>
      <c r="L196" s="44"/>
    </row>
    <row r="197" spans="5:12">
      <c r="E197" s="44"/>
      <c r="K197" s="44"/>
      <c r="L197" s="44"/>
    </row>
    <row r="198" spans="5:12">
      <c r="E198" s="44"/>
      <c r="K198" s="44"/>
      <c r="L198" s="44"/>
    </row>
    <row r="199" spans="5:12">
      <c r="E199" s="44"/>
      <c r="K199" s="44"/>
      <c r="L199" s="44"/>
    </row>
    <row r="200" spans="5:12">
      <c r="E200" s="44"/>
      <c r="K200" s="44"/>
      <c r="L200" s="44"/>
    </row>
    <row r="201" spans="5:12">
      <c r="E201" s="44"/>
      <c r="K201" s="44"/>
      <c r="L201" s="44"/>
    </row>
    <row r="202" spans="5:12">
      <c r="E202" s="44"/>
      <c r="K202" s="44"/>
      <c r="L202" s="44"/>
    </row>
    <row r="203" spans="5:12">
      <c r="E203" s="44"/>
      <c r="K203" s="44"/>
      <c r="L203" s="44"/>
    </row>
    <row r="204" spans="5:12">
      <c r="E204" s="44"/>
      <c r="K204" s="44"/>
      <c r="L204" s="44"/>
    </row>
    <row r="205" spans="5:12">
      <c r="E205" s="44"/>
      <c r="K205" s="44"/>
      <c r="L205" s="44"/>
    </row>
    <row r="206" spans="5:12">
      <c r="E206" s="44"/>
      <c r="K206" s="44"/>
      <c r="L206" s="44"/>
    </row>
    <row r="207" spans="5:12">
      <c r="E207" s="44"/>
      <c r="K207" s="44"/>
      <c r="L207" s="44"/>
    </row>
    <row r="208" spans="5:12">
      <c r="E208" s="44"/>
      <c r="K208" s="44"/>
      <c r="L208" s="44"/>
    </row>
    <row r="209" spans="5:12">
      <c r="E209" s="44"/>
      <c r="K209" s="44"/>
      <c r="L209" s="44"/>
    </row>
    <row r="210" spans="5:12">
      <c r="E210" s="44"/>
      <c r="K210" s="44"/>
      <c r="L210" s="44"/>
    </row>
    <row r="211" spans="5:12">
      <c r="E211" s="44"/>
      <c r="K211" s="44"/>
      <c r="L211" s="44"/>
    </row>
    <row r="212" spans="5:12">
      <c r="E212" s="44"/>
      <c r="K212" s="44"/>
      <c r="L212" s="44"/>
    </row>
    <row r="213" spans="5:12">
      <c r="E213" s="44"/>
      <c r="K213" s="44"/>
      <c r="L213" s="44"/>
    </row>
    <row r="214" spans="5:12">
      <c r="E214" s="44"/>
      <c r="K214" s="44"/>
      <c r="L214" s="44"/>
    </row>
    <row r="215" spans="5:12">
      <c r="E215" s="44"/>
      <c r="K215" s="44"/>
      <c r="L215" s="44"/>
    </row>
    <row r="216" spans="5:12">
      <c r="E216" s="44"/>
      <c r="K216" s="44"/>
      <c r="L216" s="44"/>
    </row>
    <row r="217" spans="5:12">
      <c r="E217" s="44"/>
      <c r="K217" s="44"/>
      <c r="L217" s="44"/>
    </row>
    <row r="218" spans="5:12">
      <c r="E218" s="44"/>
      <c r="K218" s="44"/>
      <c r="L218" s="44"/>
    </row>
    <row r="219" spans="5:12">
      <c r="E219" s="44"/>
      <c r="K219" s="44"/>
      <c r="L219" s="44"/>
    </row>
    <row r="220" spans="5:12">
      <c r="E220" s="44"/>
      <c r="K220" s="44"/>
      <c r="L220" s="44"/>
    </row>
    <row r="221" spans="5:12">
      <c r="E221" s="44"/>
      <c r="K221" s="44"/>
      <c r="L221" s="44"/>
    </row>
    <row r="222" spans="5:12">
      <c r="E222" s="44"/>
      <c r="K222" s="44"/>
      <c r="L222" s="44"/>
    </row>
    <row r="223" spans="5:12">
      <c r="E223" s="44"/>
      <c r="K223" s="44"/>
      <c r="L223" s="44"/>
    </row>
    <row r="224" spans="5:12">
      <c r="E224" s="44"/>
      <c r="K224" s="44"/>
      <c r="L224" s="44"/>
    </row>
    <row r="225" spans="5:12">
      <c r="E225" s="44"/>
      <c r="K225" s="44"/>
      <c r="L225" s="44"/>
    </row>
    <row r="226" spans="5:12">
      <c r="E226" s="44"/>
      <c r="K226" s="44"/>
      <c r="L226" s="44"/>
    </row>
    <row r="227" spans="5:12">
      <c r="E227" s="44"/>
      <c r="K227" s="44"/>
      <c r="L227" s="44"/>
    </row>
    <row r="228" spans="5:12">
      <c r="E228" s="44"/>
      <c r="K228" s="44"/>
      <c r="L228" s="44"/>
    </row>
    <row r="229" spans="5:12">
      <c r="E229" s="44"/>
      <c r="K229" s="44"/>
      <c r="L229" s="44"/>
    </row>
    <row r="230" spans="5:12">
      <c r="E230" s="44"/>
      <c r="K230" s="44"/>
      <c r="L230" s="44"/>
    </row>
    <row r="231" spans="5:12">
      <c r="E231" s="44"/>
      <c r="K231" s="44"/>
      <c r="L231" s="44"/>
    </row>
    <row r="232" spans="5:12">
      <c r="E232" s="44"/>
      <c r="K232" s="44"/>
      <c r="L232" s="44"/>
    </row>
    <row r="233" spans="5:12">
      <c r="E233" s="44"/>
      <c r="K233" s="44"/>
      <c r="L233" s="44"/>
    </row>
    <row r="234" spans="5:12">
      <c r="E234" s="44"/>
      <c r="K234" s="44"/>
      <c r="L234" s="44"/>
    </row>
    <row r="235" spans="5:12">
      <c r="E235" s="44"/>
      <c r="K235" s="44"/>
      <c r="L235" s="44"/>
    </row>
    <row r="236" spans="5:12">
      <c r="E236" s="44"/>
      <c r="K236" s="44"/>
      <c r="L236" s="44"/>
    </row>
    <row r="237" spans="5:12">
      <c r="E237" s="44"/>
      <c r="K237" s="44"/>
      <c r="L237" s="44"/>
    </row>
    <row r="238" spans="5:12">
      <c r="E238" s="44"/>
      <c r="K238" s="44"/>
      <c r="L238" s="44"/>
    </row>
    <row r="239" spans="5:12">
      <c r="E239" s="44"/>
      <c r="K239" s="44"/>
      <c r="L239" s="44"/>
    </row>
    <row r="240" spans="5:12">
      <c r="E240" s="44"/>
      <c r="K240" s="44"/>
      <c r="L240" s="44"/>
    </row>
    <row r="241" spans="5:12">
      <c r="E241" s="44"/>
      <c r="K241" s="44"/>
      <c r="L241" s="44"/>
    </row>
    <row r="242" spans="5:12">
      <c r="E242" s="44"/>
      <c r="K242" s="44"/>
      <c r="L242" s="44"/>
    </row>
    <row r="243" spans="5:12">
      <c r="E243" s="44"/>
      <c r="K243" s="44"/>
      <c r="L243" s="44"/>
    </row>
    <row r="244" spans="5:12">
      <c r="E244" s="44"/>
      <c r="K244" s="44"/>
      <c r="L244" s="44"/>
    </row>
    <row r="245" spans="5:12">
      <c r="E245" s="44"/>
      <c r="K245" s="44"/>
      <c r="L245" s="44"/>
    </row>
    <row r="246" spans="5:12">
      <c r="E246" s="44"/>
      <c r="K246" s="44"/>
      <c r="L246" s="44"/>
    </row>
    <row r="247" spans="5:12">
      <c r="E247" s="44"/>
      <c r="K247" s="44"/>
      <c r="L247" s="44"/>
    </row>
    <row r="248" spans="5:12">
      <c r="E248" s="44"/>
      <c r="K248" s="44"/>
      <c r="L248" s="44"/>
    </row>
    <row r="249" spans="5:12">
      <c r="E249" s="44"/>
      <c r="K249" s="44"/>
      <c r="L249" s="44"/>
    </row>
    <row r="250" spans="5:12">
      <c r="E250" s="44"/>
      <c r="K250" s="44"/>
      <c r="L250" s="44"/>
    </row>
    <row r="251" spans="5:12">
      <c r="E251" s="44"/>
      <c r="K251" s="44"/>
      <c r="L251" s="44"/>
    </row>
    <row r="252" spans="5:12">
      <c r="E252" s="44"/>
      <c r="K252" s="44"/>
      <c r="L252" s="44"/>
    </row>
    <row r="253" spans="5:12">
      <c r="E253" s="44"/>
      <c r="K253" s="44"/>
      <c r="L253" s="44"/>
    </row>
    <row r="254" spans="5:12">
      <c r="E254" s="44"/>
      <c r="K254" s="44"/>
      <c r="L254" s="44"/>
    </row>
    <row r="255" spans="5:12">
      <c r="E255" s="44"/>
      <c r="K255" s="44"/>
      <c r="L255" s="44"/>
    </row>
    <row r="256" spans="5:12">
      <c r="E256" s="44"/>
      <c r="K256" s="44"/>
      <c r="L256" s="44"/>
    </row>
    <row r="257" spans="5:12">
      <c r="E257" s="44"/>
      <c r="K257" s="44"/>
      <c r="L257" s="44"/>
    </row>
    <row r="258" spans="5:12">
      <c r="E258" s="44"/>
      <c r="K258" s="44"/>
      <c r="L258" s="44"/>
    </row>
    <row r="259" spans="5:12">
      <c r="E259" s="44"/>
      <c r="K259" s="44"/>
      <c r="L259" s="44"/>
    </row>
    <row r="260" spans="5:12">
      <c r="E260" s="44"/>
      <c r="K260" s="44"/>
      <c r="L260" s="44"/>
    </row>
    <row r="261" spans="5:12">
      <c r="E261" s="44"/>
      <c r="K261" s="44"/>
      <c r="L261" s="44"/>
    </row>
    <row r="262" spans="5:12">
      <c r="E262" s="44"/>
      <c r="K262" s="44"/>
      <c r="L262" s="44"/>
    </row>
    <row r="263" spans="5:12">
      <c r="E263" s="44"/>
      <c r="K263" s="44"/>
      <c r="L263" s="44"/>
    </row>
    <row r="264" spans="5:12">
      <c r="E264" s="44"/>
      <c r="K264" s="44"/>
      <c r="L264" s="44"/>
    </row>
    <row r="265" spans="5:12">
      <c r="E265" s="44"/>
      <c r="K265" s="44"/>
      <c r="L265" s="44"/>
    </row>
    <row r="266" spans="5:12">
      <c r="E266" s="44"/>
      <c r="K266" s="44"/>
      <c r="L266" s="44"/>
    </row>
    <row r="267" spans="5:12">
      <c r="E267" s="44"/>
      <c r="K267" s="44"/>
      <c r="L267" s="44"/>
    </row>
    <row r="268" spans="5:12">
      <c r="E268" s="44"/>
      <c r="K268" s="44"/>
      <c r="L268" s="44"/>
    </row>
    <row r="269" spans="5:12">
      <c r="E269" s="44"/>
      <c r="K269" s="44"/>
      <c r="L269" s="44"/>
    </row>
    <row r="270" spans="5:12">
      <c r="E270" s="44"/>
      <c r="K270" s="44"/>
      <c r="L270" s="44"/>
    </row>
    <row r="271" spans="5:12">
      <c r="E271" s="44"/>
      <c r="K271" s="44"/>
      <c r="L271" s="44"/>
    </row>
    <row r="272" spans="5:12">
      <c r="E272" s="44"/>
      <c r="K272" s="44"/>
      <c r="L272" s="44"/>
    </row>
    <row r="273" spans="5:12">
      <c r="E273" s="44"/>
      <c r="K273" s="44"/>
      <c r="L273" s="44"/>
    </row>
    <row r="274" spans="5:12">
      <c r="E274" s="44"/>
      <c r="K274" s="44"/>
      <c r="L274" s="44"/>
    </row>
    <row r="275" spans="5:12">
      <c r="E275" s="44"/>
      <c r="K275" s="44"/>
      <c r="L275" s="44"/>
    </row>
    <row r="276" spans="5:12">
      <c r="E276" s="44"/>
      <c r="K276" s="44"/>
      <c r="L276" s="44"/>
    </row>
    <row r="277" spans="5:12">
      <c r="E277" s="44"/>
      <c r="K277" s="44"/>
      <c r="L277" s="44"/>
    </row>
    <row r="278" spans="5:12">
      <c r="E278" s="44"/>
      <c r="K278" s="44"/>
      <c r="L278" s="44"/>
    </row>
    <row r="279" spans="5:12">
      <c r="E279" s="44"/>
      <c r="K279" s="44"/>
      <c r="L279" s="44"/>
    </row>
    <row r="280" spans="5:12">
      <c r="E280" s="44"/>
      <c r="K280" s="44"/>
      <c r="L280" s="44"/>
    </row>
    <row r="281" spans="5:12">
      <c r="E281" s="44"/>
      <c r="K281" s="44"/>
      <c r="L281" s="44"/>
    </row>
    <row r="282" spans="5:12">
      <c r="E282" s="44"/>
      <c r="K282" s="44"/>
      <c r="L282" s="44"/>
    </row>
    <row r="283" spans="5:12">
      <c r="E283" s="44"/>
      <c r="K283" s="44"/>
      <c r="L283" s="44"/>
    </row>
    <row r="284" spans="5:12">
      <c r="E284" s="44"/>
      <c r="K284" s="44"/>
      <c r="L284" s="44"/>
    </row>
    <row r="285" spans="5:12">
      <c r="E285" s="44"/>
      <c r="K285" s="44"/>
      <c r="L285" s="44"/>
    </row>
    <row r="286" spans="5:12">
      <c r="E286" s="44"/>
      <c r="K286" s="44"/>
      <c r="L286" s="44"/>
    </row>
    <row r="287" spans="5:12">
      <c r="E287" s="44"/>
      <c r="K287" s="44"/>
      <c r="L287" s="44"/>
    </row>
    <row r="288" spans="5:12">
      <c r="E288" s="44"/>
      <c r="K288" s="44"/>
      <c r="L288" s="44"/>
    </row>
    <row r="289" spans="5:12">
      <c r="E289" s="44"/>
      <c r="K289" s="44"/>
      <c r="L289" s="44"/>
    </row>
    <row r="290" spans="5:12">
      <c r="E290" s="44"/>
      <c r="K290" s="44"/>
      <c r="L290" s="44"/>
    </row>
    <row r="291" spans="5:12">
      <c r="E291" s="44"/>
      <c r="K291" s="44"/>
      <c r="L291" s="44"/>
    </row>
    <row r="292" spans="5:12">
      <c r="E292" s="44"/>
      <c r="K292" s="44"/>
      <c r="L292" s="44"/>
    </row>
    <row r="293" spans="5:12">
      <c r="E293" s="44"/>
      <c r="K293" s="44"/>
      <c r="L293" s="44"/>
    </row>
    <row r="294" spans="5:12">
      <c r="E294" s="44"/>
      <c r="K294" s="44"/>
      <c r="L294" s="44"/>
    </row>
    <row r="295" spans="5:12">
      <c r="E295" s="44"/>
      <c r="K295" s="44"/>
      <c r="L295" s="44"/>
    </row>
    <row r="296" spans="5:12">
      <c r="E296" s="44"/>
      <c r="K296" s="44"/>
      <c r="L296" s="44"/>
    </row>
    <row r="297" spans="5:12">
      <c r="E297" s="44"/>
      <c r="K297" s="44"/>
      <c r="L297" s="44"/>
    </row>
    <row r="298" spans="5:12">
      <c r="E298" s="44"/>
      <c r="K298" s="44"/>
      <c r="L298" s="44"/>
    </row>
    <row r="299" spans="5:12">
      <c r="E299" s="44"/>
      <c r="K299" s="44"/>
      <c r="L299" s="44"/>
    </row>
    <row r="300" spans="5:12">
      <c r="E300" s="44"/>
      <c r="K300" s="44"/>
      <c r="L300" s="44"/>
    </row>
    <row r="301" spans="5:12">
      <c r="E301" s="44"/>
      <c r="K301" s="44"/>
      <c r="L301" s="44"/>
    </row>
    <row r="302" spans="5:12">
      <c r="E302" s="44"/>
      <c r="K302" s="44"/>
      <c r="L302" s="44"/>
    </row>
    <row r="303" spans="5:12">
      <c r="E303" s="44"/>
      <c r="K303" s="44"/>
      <c r="L303" s="44"/>
    </row>
    <row r="304" spans="5:12">
      <c r="E304" s="44"/>
      <c r="K304" s="44"/>
      <c r="L304" s="44"/>
    </row>
    <row r="305" spans="5:12">
      <c r="E305" s="44"/>
      <c r="K305" s="44"/>
      <c r="L305" s="44"/>
    </row>
    <row r="306" spans="5:12">
      <c r="E306" s="44"/>
      <c r="K306" s="44"/>
      <c r="L306" s="44"/>
    </row>
    <row r="307" spans="5:12">
      <c r="E307" s="44"/>
      <c r="K307" s="44"/>
      <c r="L307" s="44"/>
    </row>
    <row r="308" spans="5:12">
      <c r="E308" s="44"/>
      <c r="K308" s="44"/>
      <c r="L308" s="44"/>
    </row>
    <row r="309" spans="5:12">
      <c r="E309" s="44"/>
      <c r="K309" s="44"/>
      <c r="L309" s="44"/>
    </row>
    <row r="310" spans="5:12">
      <c r="E310" s="44"/>
      <c r="K310" s="44"/>
      <c r="L310" s="44"/>
    </row>
    <row r="311" spans="5:12">
      <c r="E311" s="44"/>
      <c r="K311" s="44"/>
      <c r="L311" s="44"/>
    </row>
    <row r="312" spans="5:12">
      <c r="E312" s="44"/>
      <c r="K312" s="44"/>
      <c r="L312" s="44"/>
    </row>
    <row r="313" spans="5:12">
      <c r="E313" s="44"/>
      <c r="K313" s="44"/>
      <c r="L313" s="44"/>
    </row>
    <row r="314" spans="5:12">
      <c r="E314" s="44"/>
      <c r="K314" s="44"/>
      <c r="L314" s="44"/>
    </row>
    <row r="315" spans="5:12">
      <c r="E315" s="44"/>
      <c r="K315" s="44"/>
      <c r="L315" s="44"/>
    </row>
    <row r="316" spans="5:12">
      <c r="E316" s="44"/>
      <c r="K316" s="44"/>
      <c r="L316" s="44"/>
    </row>
    <row r="317" spans="5:12">
      <c r="E317" s="44"/>
      <c r="K317" s="44"/>
      <c r="L317" s="44"/>
    </row>
    <row r="318" spans="5:12">
      <c r="E318" s="44"/>
      <c r="K318" s="44"/>
      <c r="L318" s="44"/>
    </row>
    <row r="319" spans="5:12">
      <c r="E319" s="44"/>
      <c r="K319" s="44"/>
      <c r="L319" s="44"/>
    </row>
    <row r="320" spans="5:12">
      <c r="E320" s="44"/>
      <c r="K320" s="44"/>
      <c r="L320" s="44"/>
    </row>
    <row r="321" spans="5:12">
      <c r="E321" s="44"/>
      <c r="K321" s="44"/>
      <c r="L321" s="44"/>
    </row>
    <row r="322" spans="5:12">
      <c r="E322" s="44"/>
      <c r="K322" s="44"/>
      <c r="L322" s="44"/>
    </row>
    <row r="323" spans="5:12">
      <c r="E323" s="44"/>
      <c r="K323" s="44"/>
      <c r="L323" s="44"/>
    </row>
    <row r="324" spans="5:12">
      <c r="E324" s="44"/>
      <c r="K324" s="44"/>
      <c r="L324" s="44"/>
    </row>
    <row r="325" spans="5:12">
      <c r="E325" s="44"/>
      <c r="K325" s="44"/>
      <c r="L325" s="44"/>
    </row>
    <row r="326" spans="5:12">
      <c r="E326" s="44"/>
      <c r="K326" s="44"/>
      <c r="L326" s="44"/>
    </row>
    <row r="327" spans="5:12">
      <c r="E327" s="44"/>
      <c r="K327" s="44"/>
      <c r="L327" s="44"/>
    </row>
    <row r="328" spans="5:12">
      <c r="E328" s="44"/>
      <c r="K328" s="44"/>
      <c r="L328" s="44"/>
    </row>
    <row r="329" spans="5:12">
      <c r="E329" s="44"/>
      <c r="K329" s="44"/>
      <c r="L329" s="44"/>
    </row>
    <row r="330" spans="5:12">
      <c r="E330" s="44"/>
      <c r="K330" s="44"/>
      <c r="L330" s="44"/>
    </row>
    <row r="331" spans="5:12">
      <c r="E331" s="44"/>
      <c r="K331" s="44"/>
      <c r="L331" s="44"/>
    </row>
    <row r="332" spans="5:12">
      <c r="E332" s="44"/>
      <c r="K332" s="44"/>
      <c r="L332" s="44"/>
    </row>
    <row r="333" spans="5:12">
      <c r="E333" s="44"/>
      <c r="K333" s="44"/>
      <c r="L333" s="44"/>
    </row>
    <row r="334" spans="5:12">
      <c r="E334" s="44"/>
      <c r="K334" s="44"/>
      <c r="L334" s="44"/>
    </row>
    <row r="335" spans="5:12">
      <c r="E335" s="44"/>
      <c r="K335" s="44"/>
      <c r="L335" s="44"/>
    </row>
    <row r="336" spans="5:12">
      <c r="E336" s="44"/>
      <c r="K336" s="44"/>
      <c r="L336" s="44"/>
    </row>
    <row r="337" spans="5:12">
      <c r="E337" s="44"/>
      <c r="K337" s="44"/>
      <c r="L337" s="44"/>
    </row>
    <row r="338" spans="5:12">
      <c r="E338" s="44"/>
      <c r="K338" s="44"/>
      <c r="L338" s="44"/>
    </row>
    <row r="339" spans="5:12">
      <c r="E339" s="44"/>
      <c r="K339" s="44"/>
      <c r="L339" s="44"/>
    </row>
    <row r="340" spans="5:12">
      <c r="E340" s="44"/>
      <c r="K340" s="44"/>
      <c r="L340" s="44"/>
    </row>
    <row r="341" spans="5:12">
      <c r="E341" s="44"/>
      <c r="K341" s="44"/>
      <c r="L341" s="44"/>
    </row>
    <row r="342" spans="5:12">
      <c r="E342" s="44"/>
      <c r="K342" s="44"/>
      <c r="L342" s="44"/>
    </row>
    <row r="343" spans="5:12">
      <c r="E343" s="44"/>
      <c r="K343" s="44"/>
      <c r="L343" s="44"/>
    </row>
    <row r="344" spans="5:12">
      <c r="E344" s="44"/>
      <c r="K344" s="44"/>
      <c r="L344" s="44"/>
    </row>
    <row r="345" spans="5:12">
      <c r="E345" s="44"/>
      <c r="K345" s="44"/>
      <c r="L345" s="44"/>
    </row>
    <row r="346" spans="5:12">
      <c r="E346" s="44"/>
      <c r="K346" s="44"/>
      <c r="L346" s="44"/>
    </row>
    <row r="347" spans="5:12">
      <c r="E347" s="44"/>
      <c r="K347" s="44"/>
      <c r="L347" s="44"/>
    </row>
    <row r="348" spans="5:12">
      <c r="E348" s="44"/>
      <c r="K348" s="44"/>
      <c r="L348" s="44"/>
    </row>
    <row r="349" spans="5:12">
      <c r="E349" s="44"/>
      <c r="K349" s="44"/>
      <c r="L349" s="44"/>
    </row>
    <row r="350" spans="5:12">
      <c r="E350" s="44"/>
      <c r="K350" s="44"/>
      <c r="L350" s="44"/>
    </row>
    <row r="351" spans="5:12">
      <c r="E351" s="44"/>
      <c r="K351" s="44"/>
      <c r="L351" s="44"/>
    </row>
    <row r="352" spans="5:12">
      <c r="E352" s="44"/>
      <c r="K352" s="44"/>
      <c r="L352" s="44"/>
    </row>
    <row r="353" spans="5:12">
      <c r="E353" s="44"/>
      <c r="K353" s="44"/>
      <c r="L353" s="44"/>
    </row>
    <row r="354" spans="5:12">
      <c r="E354" s="44"/>
      <c r="K354" s="44"/>
      <c r="L354" s="44"/>
    </row>
    <row r="355" spans="5:12">
      <c r="E355" s="44"/>
      <c r="K355" s="44"/>
      <c r="L355" s="44"/>
    </row>
    <row r="356" spans="5:12">
      <c r="E356" s="44"/>
      <c r="K356" s="44"/>
      <c r="L356" s="44"/>
    </row>
    <row r="357" spans="5:12">
      <c r="E357" s="44"/>
      <c r="K357" s="44"/>
      <c r="L357" s="44"/>
    </row>
    <row r="358" spans="5:12">
      <c r="E358" s="44"/>
      <c r="K358" s="44"/>
      <c r="L358" s="44"/>
    </row>
    <row r="359" spans="5:12">
      <c r="E359" s="44"/>
      <c r="K359" s="44"/>
      <c r="L359" s="44"/>
    </row>
    <row r="360" spans="5:12">
      <c r="E360" s="44"/>
      <c r="K360" s="44"/>
      <c r="L360" s="44"/>
    </row>
    <row r="361" spans="5:12">
      <c r="E361" s="44"/>
      <c r="K361" s="44"/>
      <c r="L361" s="44"/>
    </row>
    <row r="362" spans="5:12">
      <c r="E362" s="44"/>
      <c r="K362" s="44"/>
      <c r="L362" s="44"/>
    </row>
    <row r="363" spans="5:12">
      <c r="E363" s="44"/>
      <c r="K363" s="44"/>
      <c r="L363" s="44"/>
    </row>
    <row r="364" spans="5:12">
      <c r="E364" s="44"/>
      <c r="K364" s="44"/>
      <c r="L364" s="44"/>
    </row>
    <row r="365" spans="5:12">
      <c r="E365" s="44"/>
      <c r="K365" s="44"/>
      <c r="L365" s="44"/>
    </row>
    <row r="366" spans="5:12">
      <c r="E366" s="44"/>
      <c r="K366" s="44"/>
      <c r="L366" s="44"/>
    </row>
    <row r="367" spans="5:12">
      <c r="E367" s="44"/>
      <c r="K367" s="44"/>
      <c r="L367" s="44"/>
    </row>
    <row r="368" spans="5:12">
      <c r="E368" s="44"/>
      <c r="K368" s="44"/>
      <c r="L368" s="44"/>
    </row>
    <row r="369" spans="5:12">
      <c r="E369" s="44"/>
      <c r="K369" s="44"/>
      <c r="L369" s="44"/>
    </row>
    <row r="370" spans="5:12">
      <c r="E370" s="44"/>
      <c r="K370" s="44"/>
      <c r="L370" s="44"/>
    </row>
    <row r="371" spans="5:12">
      <c r="E371" s="44"/>
      <c r="K371" s="44"/>
      <c r="L371" s="44"/>
    </row>
    <row r="372" spans="5:12">
      <c r="E372" s="44"/>
      <c r="K372" s="44"/>
      <c r="L372" s="44"/>
    </row>
    <row r="373" spans="5:12">
      <c r="E373" s="44"/>
      <c r="K373" s="44"/>
      <c r="L373" s="44"/>
    </row>
    <row r="374" spans="5:12">
      <c r="E374" s="44"/>
      <c r="K374" s="44"/>
      <c r="L374" s="44"/>
    </row>
    <row r="375" spans="5:12">
      <c r="E375" s="44"/>
      <c r="K375" s="44"/>
      <c r="L375" s="44"/>
    </row>
    <row r="376" spans="5:12">
      <c r="E376" s="44"/>
      <c r="K376" s="44"/>
      <c r="L376" s="44"/>
    </row>
    <row r="377" spans="5:12">
      <c r="E377" s="44"/>
      <c r="K377" s="44"/>
      <c r="L377" s="44"/>
    </row>
    <row r="378" spans="5:12">
      <c r="E378" s="44"/>
      <c r="K378" s="44"/>
      <c r="L378" s="44"/>
    </row>
    <row r="379" spans="5:12">
      <c r="E379" s="44"/>
      <c r="K379" s="44"/>
      <c r="L379" s="44"/>
    </row>
    <row r="380" spans="5:12">
      <c r="E380" s="44"/>
      <c r="K380" s="44"/>
      <c r="L380" s="44"/>
    </row>
    <row r="381" spans="5:12">
      <c r="E381" s="44"/>
      <c r="K381" s="44"/>
      <c r="L381" s="44"/>
    </row>
    <row r="382" spans="5:12">
      <c r="E382" s="44"/>
      <c r="K382" s="44"/>
      <c r="L382" s="44"/>
    </row>
    <row r="383" spans="5:12">
      <c r="E383" s="44"/>
      <c r="K383" s="44"/>
      <c r="L383" s="44"/>
    </row>
    <row r="384" spans="5:12">
      <c r="E384" s="44"/>
      <c r="K384" s="44"/>
      <c r="L384" s="44"/>
    </row>
    <row r="385" spans="5:12">
      <c r="E385" s="44"/>
      <c r="K385" s="44"/>
      <c r="L385" s="44"/>
    </row>
    <row r="386" spans="5:12">
      <c r="E386" s="44"/>
      <c r="K386" s="44"/>
      <c r="L386" s="44"/>
    </row>
    <row r="387" spans="5:12">
      <c r="E387" s="44"/>
      <c r="K387" s="44"/>
      <c r="L387" s="44"/>
    </row>
    <row r="388" spans="5:12">
      <c r="E388" s="44"/>
      <c r="K388" s="44"/>
      <c r="L388" s="44"/>
    </row>
    <row r="389" spans="5:12">
      <c r="E389" s="44"/>
      <c r="K389" s="44"/>
      <c r="L389" s="44"/>
    </row>
    <row r="390" spans="5:12">
      <c r="E390" s="44"/>
      <c r="K390" s="44"/>
      <c r="L390" s="44"/>
    </row>
    <row r="391" spans="5:12">
      <c r="E391" s="44"/>
      <c r="K391" s="44"/>
      <c r="L391" s="44"/>
    </row>
    <row r="392" spans="5:12">
      <c r="E392" s="44"/>
      <c r="K392" s="44"/>
      <c r="L392" s="44"/>
    </row>
    <row r="393" spans="5:12">
      <c r="E393" s="44"/>
      <c r="K393" s="44"/>
      <c r="L393" s="44"/>
    </row>
    <row r="394" spans="5:12">
      <c r="E394" s="44"/>
      <c r="K394" s="44"/>
      <c r="L394" s="44"/>
    </row>
    <row r="395" spans="5:12">
      <c r="E395" s="44"/>
      <c r="K395" s="44"/>
      <c r="L395" s="44"/>
    </row>
    <row r="396" spans="5:12">
      <c r="E396" s="44"/>
      <c r="K396" s="44"/>
      <c r="L396" s="44"/>
    </row>
    <row r="397" spans="5:12">
      <c r="E397" s="44"/>
      <c r="K397" s="44"/>
      <c r="L397" s="44"/>
    </row>
    <row r="398" spans="5:12">
      <c r="E398" s="44"/>
      <c r="K398" s="44"/>
      <c r="L398" s="44"/>
    </row>
    <row r="399" spans="5:12">
      <c r="E399" s="44"/>
      <c r="K399" s="44"/>
      <c r="L399" s="44"/>
    </row>
    <row r="400" spans="5:12">
      <c r="E400" s="44"/>
      <c r="K400" s="44"/>
      <c r="L400" s="44"/>
    </row>
    <row r="401" spans="5:12">
      <c r="E401" s="44"/>
      <c r="K401" s="44"/>
      <c r="L401" s="44"/>
    </row>
    <row r="402" spans="5:12">
      <c r="E402" s="44"/>
      <c r="K402" s="44"/>
      <c r="L402" s="44"/>
    </row>
    <row r="403" spans="5:12">
      <c r="E403" s="44"/>
      <c r="K403" s="44"/>
      <c r="L403" s="44"/>
    </row>
    <row r="404" spans="5:12">
      <c r="E404" s="44"/>
      <c r="K404" s="44"/>
      <c r="L404" s="44"/>
    </row>
    <row r="405" spans="5:12">
      <c r="E405" s="44"/>
      <c r="K405" s="44"/>
      <c r="L405" s="44"/>
    </row>
    <row r="406" spans="5:12">
      <c r="E406" s="44"/>
      <c r="K406" s="44"/>
      <c r="L406" s="44"/>
    </row>
    <row r="407" spans="5:12">
      <c r="E407" s="44"/>
      <c r="K407" s="44"/>
      <c r="L407" s="44"/>
    </row>
    <row r="408" spans="5:12">
      <c r="E408" s="44"/>
      <c r="K408" s="44"/>
      <c r="L408" s="44"/>
    </row>
    <row r="409" spans="5:12">
      <c r="E409" s="44"/>
      <c r="K409" s="44"/>
      <c r="L409" s="44"/>
    </row>
    <row r="410" spans="5:12">
      <c r="E410" s="44"/>
      <c r="K410" s="44"/>
      <c r="L410" s="44"/>
    </row>
    <row r="411" spans="5:12">
      <c r="E411" s="44"/>
      <c r="K411" s="44"/>
      <c r="L411" s="44"/>
    </row>
    <row r="412" spans="5:12">
      <c r="E412" s="44"/>
      <c r="K412" s="44"/>
      <c r="L412" s="44"/>
    </row>
    <row r="413" spans="5:12">
      <c r="E413" s="44"/>
      <c r="K413" s="44"/>
      <c r="L413" s="44"/>
    </row>
    <row r="414" spans="5:12">
      <c r="E414" s="44"/>
      <c r="K414" s="44"/>
      <c r="L414" s="44"/>
    </row>
    <row r="415" spans="5:12">
      <c r="E415" s="44"/>
      <c r="K415" s="44"/>
      <c r="L415" s="44"/>
    </row>
    <row r="416" spans="5:12">
      <c r="E416" s="44"/>
      <c r="K416" s="44"/>
      <c r="L416" s="44"/>
    </row>
    <row r="417" spans="5:12">
      <c r="E417" s="44"/>
      <c r="K417" s="44"/>
      <c r="L417" s="44"/>
    </row>
    <row r="418" spans="5:12">
      <c r="E418" s="44"/>
      <c r="K418" s="44"/>
      <c r="L418" s="44"/>
    </row>
    <row r="419" spans="5:12">
      <c r="E419" s="44"/>
      <c r="K419" s="44"/>
      <c r="L419" s="44"/>
    </row>
    <row r="420" spans="5:12">
      <c r="E420" s="44"/>
      <c r="K420" s="44"/>
      <c r="L420" s="44"/>
    </row>
    <row r="421" spans="5:12">
      <c r="E421" s="44"/>
      <c r="K421" s="44"/>
      <c r="L421" s="44"/>
    </row>
    <row r="422" spans="5:12">
      <c r="E422" s="44"/>
      <c r="K422" s="44"/>
      <c r="L422" s="44"/>
    </row>
    <row r="423" spans="5:12">
      <c r="E423" s="44"/>
      <c r="K423" s="44"/>
      <c r="L423" s="44"/>
    </row>
    <row r="424" spans="5:12">
      <c r="E424" s="44"/>
      <c r="K424" s="44"/>
      <c r="L424" s="44"/>
    </row>
    <row r="425" spans="5:12">
      <c r="E425" s="44"/>
      <c r="K425" s="44"/>
      <c r="L425" s="44"/>
    </row>
    <row r="426" spans="5:12">
      <c r="E426" s="44"/>
      <c r="K426" s="44"/>
      <c r="L426" s="44"/>
    </row>
    <row r="427" spans="5:12">
      <c r="E427" s="44"/>
      <c r="K427" s="44"/>
      <c r="L427" s="44"/>
    </row>
    <row r="428" spans="5:12">
      <c r="E428" s="44"/>
      <c r="K428" s="44"/>
      <c r="L428" s="44"/>
    </row>
    <row r="429" spans="5:12">
      <c r="E429" s="44"/>
      <c r="K429" s="44"/>
      <c r="L429" s="44"/>
    </row>
    <row r="430" spans="5:12">
      <c r="E430" s="44"/>
      <c r="K430" s="44"/>
      <c r="L430" s="44"/>
    </row>
    <row r="431" spans="5:12">
      <c r="E431" s="44"/>
      <c r="K431" s="44"/>
      <c r="L431" s="44"/>
    </row>
    <row r="432" spans="5:12">
      <c r="E432" s="44"/>
      <c r="K432" s="44"/>
      <c r="L432" s="44"/>
    </row>
    <row r="433" spans="5:12">
      <c r="E433" s="44"/>
      <c r="K433" s="44"/>
      <c r="L433" s="44"/>
    </row>
    <row r="434" spans="5:12">
      <c r="E434" s="44"/>
      <c r="K434" s="44"/>
      <c r="L434" s="44"/>
    </row>
    <row r="435" spans="5:12">
      <c r="E435" s="44"/>
      <c r="K435" s="44"/>
      <c r="L435" s="44"/>
    </row>
    <row r="436" spans="5:12">
      <c r="E436" s="44"/>
      <c r="K436" s="44"/>
      <c r="L436" s="44"/>
    </row>
    <row r="437" spans="5:12">
      <c r="E437" s="44"/>
      <c r="K437" s="44"/>
      <c r="L437" s="44"/>
    </row>
    <row r="438" spans="5:12">
      <c r="E438" s="44"/>
      <c r="K438" s="44"/>
      <c r="L438" s="44"/>
    </row>
    <row r="439" spans="5:12">
      <c r="E439" s="44"/>
      <c r="K439" s="44"/>
      <c r="L439" s="44"/>
    </row>
    <row r="440" spans="5:12">
      <c r="E440" s="44"/>
      <c r="K440" s="44"/>
      <c r="L440" s="44"/>
    </row>
    <row r="441" spans="5:12">
      <c r="E441" s="44"/>
      <c r="K441" s="44"/>
      <c r="L441" s="44"/>
    </row>
    <row r="442" spans="5:12">
      <c r="E442" s="44"/>
      <c r="K442" s="44"/>
      <c r="L442" s="44"/>
    </row>
    <row r="443" spans="5:12">
      <c r="E443" s="44"/>
      <c r="K443" s="44"/>
      <c r="L443" s="44"/>
    </row>
    <row r="444" spans="5:12">
      <c r="E444" s="44"/>
      <c r="K444" s="44"/>
      <c r="L444" s="44"/>
    </row>
    <row r="445" spans="5:12">
      <c r="E445" s="44"/>
      <c r="K445" s="44"/>
      <c r="L445" s="44"/>
    </row>
    <row r="446" spans="5:12">
      <c r="E446" s="44"/>
      <c r="K446" s="44"/>
      <c r="L446" s="44"/>
    </row>
    <row r="447" spans="5:12">
      <c r="E447" s="44"/>
      <c r="K447" s="44"/>
      <c r="L447" s="44"/>
    </row>
    <row r="448" spans="5:12">
      <c r="E448" s="44"/>
      <c r="K448" s="44"/>
      <c r="L448" s="44"/>
    </row>
    <row r="449" spans="5:12">
      <c r="E449" s="44"/>
      <c r="K449" s="44"/>
      <c r="L449" s="44"/>
    </row>
    <row r="450" spans="5:12">
      <c r="E450" s="44"/>
      <c r="K450" s="44"/>
      <c r="L450" s="44"/>
    </row>
    <row r="451" spans="5:12">
      <c r="E451" s="44"/>
      <c r="K451" s="44"/>
      <c r="L451" s="44"/>
    </row>
    <row r="452" spans="5:12">
      <c r="E452" s="44"/>
      <c r="K452" s="44"/>
      <c r="L452" s="44"/>
    </row>
    <row r="453" spans="5:12">
      <c r="E453" s="44"/>
      <c r="K453" s="44"/>
      <c r="L453" s="44"/>
    </row>
    <row r="454" spans="5:12">
      <c r="E454" s="44"/>
      <c r="K454" s="44"/>
      <c r="L454" s="44"/>
    </row>
    <row r="455" spans="5:12">
      <c r="E455" s="44"/>
      <c r="K455" s="44"/>
      <c r="L455" s="44"/>
    </row>
    <row r="456" spans="5:12">
      <c r="E456" s="44"/>
      <c r="K456" s="44"/>
      <c r="L456" s="44"/>
    </row>
    <row r="457" spans="5:12">
      <c r="E457" s="44"/>
      <c r="K457" s="44"/>
      <c r="L457" s="44"/>
    </row>
    <row r="458" spans="5:12">
      <c r="E458" s="44"/>
      <c r="K458" s="44"/>
      <c r="L458" s="44"/>
    </row>
    <row r="459" spans="5:12">
      <c r="E459" s="44"/>
      <c r="K459" s="44"/>
      <c r="L459" s="44"/>
    </row>
    <row r="460" spans="5:12">
      <c r="E460" s="44"/>
      <c r="K460" s="44"/>
      <c r="L460" s="44"/>
    </row>
    <row r="461" spans="5:12">
      <c r="E461" s="44"/>
      <c r="K461" s="44"/>
      <c r="L461" s="44"/>
    </row>
    <row r="462" spans="5:12">
      <c r="E462" s="44"/>
      <c r="K462" s="44"/>
      <c r="L462" s="44"/>
    </row>
    <row r="463" spans="5:12">
      <c r="E463" s="44"/>
      <c r="K463" s="44"/>
      <c r="L463" s="44"/>
    </row>
    <row r="464" spans="5:12">
      <c r="E464" s="44"/>
      <c r="K464" s="44"/>
      <c r="L464" s="44"/>
    </row>
    <row r="465" spans="5:12">
      <c r="E465" s="44"/>
      <c r="K465" s="44"/>
      <c r="L465" s="44"/>
    </row>
    <row r="466" spans="5:12">
      <c r="E466" s="44"/>
      <c r="K466" s="44"/>
      <c r="L466" s="44"/>
    </row>
    <row r="467" spans="5:12">
      <c r="E467" s="44"/>
      <c r="K467" s="44"/>
      <c r="L467" s="44"/>
    </row>
    <row r="468" spans="5:12">
      <c r="E468" s="44"/>
      <c r="K468" s="44"/>
      <c r="L468" s="44"/>
    </row>
    <row r="469" spans="5:12">
      <c r="E469" s="44"/>
      <c r="K469" s="44"/>
      <c r="L469" s="44"/>
    </row>
    <row r="470" spans="5:12">
      <c r="E470" s="44"/>
      <c r="K470" s="44"/>
      <c r="L470" s="44"/>
    </row>
    <row r="471" spans="5:12">
      <c r="E471" s="44"/>
      <c r="K471" s="44"/>
      <c r="L471" s="44"/>
    </row>
    <row r="472" spans="5:12">
      <c r="E472" s="44"/>
      <c r="K472" s="44"/>
      <c r="L472" s="44"/>
    </row>
    <row r="473" spans="5:12">
      <c r="E473" s="44"/>
      <c r="K473" s="44"/>
      <c r="L473" s="44"/>
    </row>
    <row r="474" spans="5:12">
      <c r="E474" s="44"/>
      <c r="K474" s="44"/>
      <c r="L474" s="44"/>
    </row>
    <row r="475" spans="5:12">
      <c r="E475" s="44"/>
      <c r="K475" s="44"/>
      <c r="L475" s="44"/>
    </row>
    <row r="476" spans="5:12">
      <c r="E476" s="44"/>
      <c r="K476" s="44"/>
      <c r="L476" s="44"/>
    </row>
    <row r="477" spans="5:12">
      <c r="E477" s="44"/>
      <c r="K477" s="44"/>
      <c r="L477" s="44"/>
    </row>
    <row r="478" spans="5:12">
      <c r="E478" s="44"/>
      <c r="K478" s="44"/>
      <c r="L478" s="44"/>
    </row>
    <row r="479" spans="5:12">
      <c r="E479" s="44"/>
      <c r="K479" s="44"/>
      <c r="L479" s="44"/>
    </row>
    <row r="480" spans="5:12">
      <c r="E480" s="44"/>
      <c r="K480" s="44"/>
      <c r="L480" s="44"/>
    </row>
    <row r="481" spans="5:12">
      <c r="E481" s="44"/>
      <c r="K481" s="44"/>
      <c r="L481" s="44"/>
    </row>
    <row r="482" spans="5:12">
      <c r="E482" s="44"/>
      <c r="K482" s="44"/>
      <c r="L482" s="44"/>
    </row>
    <row r="483" spans="5:12">
      <c r="E483" s="44"/>
      <c r="K483" s="44"/>
      <c r="L483" s="44"/>
    </row>
    <row r="484" spans="5:12">
      <c r="E484" s="44"/>
      <c r="K484" s="44"/>
      <c r="L484" s="44"/>
    </row>
    <row r="485" spans="5:12">
      <c r="E485" s="44"/>
      <c r="K485" s="44"/>
      <c r="L485" s="44"/>
    </row>
    <row r="486" spans="5:12">
      <c r="E486" s="44"/>
      <c r="K486" s="44"/>
      <c r="L486" s="44"/>
    </row>
    <row r="487" spans="5:12">
      <c r="E487" s="44"/>
      <c r="K487" s="44"/>
      <c r="L487" s="44"/>
    </row>
    <row r="488" spans="5:12">
      <c r="E488" s="44"/>
      <c r="K488" s="44"/>
      <c r="L488" s="44"/>
    </row>
    <row r="489" spans="5:12">
      <c r="E489" s="44"/>
      <c r="K489" s="44"/>
      <c r="L489" s="44"/>
    </row>
    <row r="490" spans="5:12">
      <c r="E490" s="44"/>
      <c r="K490" s="44"/>
      <c r="L490" s="44"/>
    </row>
    <row r="491" spans="5:12">
      <c r="E491" s="44"/>
      <c r="K491" s="44"/>
      <c r="L491" s="44"/>
    </row>
    <row r="492" spans="5:12">
      <c r="E492" s="44"/>
      <c r="K492" s="44"/>
      <c r="L492" s="44"/>
    </row>
    <row r="493" spans="5:12">
      <c r="E493" s="44"/>
      <c r="K493" s="44"/>
      <c r="L493" s="44"/>
    </row>
    <row r="494" spans="5:12">
      <c r="E494" s="44"/>
      <c r="K494" s="44"/>
      <c r="L494" s="44"/>
    </row>
    <row r="495" spans="5:12">
      <c r="E495" s="44"/>
      <c r="K495" s="44"/>
      <c r="L495" s="44"/>
    </row>
    <row r="496" spans="5:12">
      <c r="E496" s="44"/>
      <c r="K496" s="44"/>
      <c r="L496" s="44"/>
    </row>
    <row r="497" spans="5:12">
      <c r="E497" s="44"/>
      <c r="K497" s="44"/>
      <c r="L497" s="44"/>
    </row>
    <row r="498" spans="5:12">
      <c r="E498" s="44"/>
      <c r="K498" s="44"/>
      <c r="L498" s="44"/>
    </row>
    <row r="499" spans="5:12">
      <c r="E499" s="44"/>
      <c r="K499" s="44"/>
      <c r="L499" s="44"/>
    </row>
    <row r="500" spans="5:12">
      <c r="E500" s="44"/>
      <c r="K500" s="44"/>
      <c r="L500" s="44"/>
    </row>
    <row r="501" spans="5:12">
      <c r="E501" s="44"/>
      <c r="K501" s="44"/>
      <c r="L501" s="44"/>
    </row>
    <row r="502" spans="5:12">
      <c r="E502" s="44"/>
      <c r="K502" s="44"/>
      <c r="L502" s="44"/>
    </row>
    <row r="503" spans="5:12">
      <c r="E503" s="44"/>
      <c r="K503" s="44"/>
      <c r="L503" s="44"/>
    </row>
    <row r="504" spans="5:12">
      <c r="E504" s="44"/>
      <c r="K504" s="44"/>
      <c r="L504" s="44"/>
    </row>
    <row r="505" spans="5:12">
      <c r="E505" s="44"/>
      <c r="K505" s="44"/>
      <c r="L505" s="44"/>
    </row>
    <row r="506" spans="5:12">
      <c r="E506" s="44"/>
      <c r="K506" s="44"/>
      <c r="L506" s="44"/>
    </row>
    <row r="507" spans="5:12">
      <c r="E507" s="44"/>
      <c r="K507" s="44"/>
      <c r="L507" s="44"/>
    </row>
    <row r="508" spans="5:12">
      <c r="E508" s="44"/>
      <c r="K508" s="44"/>
      <c r="L508" s="44"/>
    </row>
    <row r="509" spans="5:12">
      <c r="E509" s="44"/>
      <c r="K509" s="44"/>
      <c r="L509" s="44"/>
    </row>
    <row r="510" spans="5:12">
      <c r="E510" s="44"/>
      <c r="K510" s="44"/>
      <c r="L510" s="44"/>
    </row>
    <row r="511" spans="5:12">
      <c r="E511" s="44"/>
      <c r="K511" s="44"/>
      <c r="L511" s="44"/>
    </row>
    <row r="512" spans="5:12">
      <c r="E512" s="44"/>
      <c r="K512" s="44"/>
      <c r="L512" s="44"/>
    </row>
    <row r="513" spans="5:12">
      <c r="E513" s="44"/>
      <c r="K513" s="44"/>
      <c r="L513" s="44"/>
    </row>
    <row r="514" spans="5:12">
      <c r="E514" s="44"/>
      <c r="K514" s="44"/>
      <c r="L514" s="44"/>
    </row>
    <row r="515" spans="5:12">
      <c r="E515" s="44"/>
      <c r="K515" s="44"/>
      <c r="L515" s="44"/>
    </row>
    <row r="516" spans="5:12">
      <c r="E516" s="44"/>
      <c r="K516" s="44"/>
      <c r="L516" s="44"/>
    </row>
    <row r="517" spans="5:12">
      <c r="E517" s="44"/>
      <c r="K517" s="44"/>
      <c r="L517" s="44"/>
    </row>
    <row r="518" spans="5:12">
      <c r="E518" s="44"/>
      <c r="K518" s="44"/>
      <c r="L518" s="44"/>
    </row>
    <row r="519" spans="5:12">
      <c r="E519" s="44"/>
      <c r="K519" s="44"/>
      <c r="L519" s="44"/>
    </row>
    <row r="520" spans="5:12">
      <c r="E520" s="44"/>
      <c r="K520" s="44"/>
      <c r="L520" s="44"/>
    </row>
    <row r="521" spans="5:12">
      <c r="E521" s="44"/>
      <c r="K521" s="44"/>
      <c r="L521" s="44"/>
    </row>
    <row r="522" spans="5:12">
      <c r="E522" s="44"/>
      <c r="K522" s="44"/>
      <c r="L522" s="44"/>
    </row>
    <row r="523" spans="5:12">
      <c r="E523" s="44"/>
      <c r="K523" s="44"/>
      <c r="L523" s="44"/>
    </row>
    <row r="524" spans="5:12">
      <c r="E524" s="44"/>
      <c r="K524" s="44"/>
      <c r="L524" s="44"/>
    </row>
    <row r="525" spans="5:12">
      <c r="E525" s="44"/>
      <c r="K525" s="44"/>
      <c r="L525" s="44"/>
    </row>
    <row r="526" spans="5:12">
      <c r="E526" s="44"/>
      <c r="K526" s="44"/>
      <c r="L526" s="44"/>
    </row>
    <row r="527" spans="5:12">
      <c r="E527" s="44"/>
      <c r="K527" s="44"/>
      <c r="L527" s="44"/>
    </row>
    <row r="528" spans="5:12">
      <c r="E528" s="44"/>
      <c r="K528" s="44"/>
      <c r="L528" s="44"/>
    </row>
    <row r="529" spans="5:12">
      <c r="E529" s="44"/>
      <c r="K529" s="44"/>
      <c r="L529" s="44"/>
    </row>
    <row r="530" spans="5:12">
      <c r="E530" s="44"/>
      <c r="K530" s="44"/>
      <c r="L530" s="44"/>
    </row>
    <row r="531" spans="5:12">
      <c r="E531" s="44"/>
      <c r="K531" s="44"/>
      <c r="L531" s="44"/>
    </row>
    <row r="532" spans="5:12">
      <c r="E532" s="44"/>
      <c r="K532" s="44"/>
      <c r="L532" s="44"/>
    </row>
    <row r="533" spans="5:12">
      <c r="E533" s="44"/>
      <c r="K533" s="44"/>
      <c r="L533" s="44"/>
    </row>
    <row r="534" spans="5:12">
      <c r="E534" s="44"/>
      <c r="K534" s="44"/>
      <c r="L534" s="44"/>
    </row>
    <row r="535" spans="5:12">
      <c r="E535" s="44"/>
      <c r="K535" s="44"/>
      <c r="L535" s="44"/>
    </row>
    <row r="536" spans="5:12">
      <c r="E536" s="44"/>
      <c r="K536" s="44"/>
      <c r="L536" s="44"/>
    </row>
    <row r="537" spans="5:12">
      <c r="E537" s="44"/>
      <c r="K537" s="44"/>
      <c r="L537" s="44"/>
    </row>
    <row r="538" spans="5:12">
      <c r="E538" s="44"/>
      <c r="K538" s="44"/>
      <c r="L538" s="44"/>
    </row>
    <row r="539" spans="5:12">
      <c r="E539" s="44"/>
      <c r="K539" s="44"/>
      <c r="L539" s="44"/>
    </row>
    <row r="540" spans="5:12">
      <c r="E540" s="44"/>
      <c r="K540" s="44"/>
      <c r="L540" s="44"/>
    </row>
    <row r="541" spans="5:12">
      <c r="E541" s="44"/>
      <c r="K541" s="44"/>
      <c r="L541" s="44"/>
    </row>
    <row r="542" spans="5:12">
      <c r="E542" s="44"/>
      <c r="K542" s="44"/>
      <c r="L542" s="44"/>
    </row>
    <row r="543" spans="5:12">
      <c r="E543" s="44"/>
      <c r="K543" s="44"/>
      <c r="L543" s="44"/>
    </row>
    <row r="544" spans="5:12">
      <c r="E544" s="44"/>
      <c r="K544" s="44"/>
      <c r="L544" s="44"/>
    </row>
    <row r="545" spans="5:12">
      <c r="E545" s="44"/>
      <c r="K545" s="44"/>
      <c r="L545" s="44"/>
    </row>
    <row r="546" spans="5:12">
      <c r="E546" s="44"/>
      <c r="K546" s="44"/>
      <c r="L546" s="44"/>
    </row>
    <row r="547" spans="5:12">
      <c r="E547" s="44"/>
      <c r="K547" s="44"/>
      <c r="L547" s="44"/>
    </row>
    <row r="548" spans="5:12">
      <c r="E548" s="44"/>
      <c r="K548" s="44"/>
      <c r="L548" s="44"/>
    </row>
    <row r="549" spans="5:12">
      <c r="E549" s="44"/>
      <c r="K549" s="44"/>
      <c r="L549" s="44"/>
    </row>
    <row r="550" spans="5:12">
      <c r="E550" s="44"/>
      <c r="K550" s="44"/>
      <c r="L550" s="44"/>
    </row>
    <row r="551" spans="5:12">
      <c r="E551" s="44"/>
      <c r="K551" s="44"/>
      <c r="L551" s="44"/>
    </row>
    <row r="552" spans="5:12">
      <c r="E552" s="44"/>
      <c r="K552" s="44"/>
      <c r="L552" s="44"/>
    </row>
    <row r="553" spans="5:12">
      <c r="E553" s="44"/>
      <c r="K553" s="44"/>
      <c r="L553" s="44"/>
    </row>
    <row r="554" spans="5:12">
      <c r="E554" s="44"/>
      <c r="K554" s="44"/>
      <c r="L554" s="44"/>
    </row>
    <row r="555" spans="5:12">
      <c r="E555" s="44"/>
      <c r="K555" s="44"/>
      <c r="L555" s="44"/>
    </row>
    <row r="556" spans="5:12">
      <c r="E556" s="44"/>
      <c r="K556" s="44"/>
      <c r="L556" s="44"/>
    </row>
    <row r="557" spans="5:12">
      <c r="E557" s="44"/>
      <c r="K557" s="44"/>
      <c r="L557" s="44"/>
    </row>
    <row r="558" spans="5:12">
      <c r="E558" s="44"/>
      <c r="K558" s="44"/>
      <c r="L558" s="44"/>
    </row>
    <row r="559" spans="5:12">
      <c r="E559" s="44"/>
      <c r="K559" s="44"/>
      <c r="L559" s="44"/>
    </row>
    <row r="560" spans="5:12">
      <c r="E560" s="44"/>
      <c r="K560" s="44"/>
      <c r="L560" s="44"/>
    </row>
    <row r="561" spans="5:12">
      <c r="E561" s="44"/>
      <c r="K561" s="44"/>
      <c r="L561" s="44"/>
    </row>
    <row r="562" spans="5:12">
      <c r="E562" s="44"/>
      <c r="K562" s="44"/>
      <c r="L562" s="44"/>
    </row>
    <row r="563" spans="5:12">
      <c r="E563" s="44"/>
      <c r="K563" s="44"/>
      <c r="L563" s="44"/>
    </row>
    <row r="564" spans="5:12">
      <c r="E564" s="44"/>
      <c r="K564" s="44"/>
      <c r="L564" s="44"/>
    </row>
    <row r="565" spans="5:12">
      <c r="E565" s="44"/>
      <c r="K565" s="44"/>
      <c r="L565" s="44"/>
    </row>
    <row r="566" spans="5:12">
      <c r="E566" s="44"/>
      <c r="K566" s="44"/>
      <c r="L566" s="44"/>
    </row>
    <row r="567" spans="5:12">
      <c r="E567" s="44"/>
      <c r="K567" s="44"/>
      <c r="L567" s="44"/>
    </row>
    <row r="568" spans="5:12">
      <c r="E568" s="44"/>
      <c r="K568" s="44"/>
      <c r="L568" s="44"/>
    </row>
    <row r="569" spans="5:12">
      <c r="E569" s="44"/>
      <c r="K569" s="44"/>
      <c r="L569" s="44"/>
    </row>
    <row r="570" spans="5:12">
      <c r="E570" s="44"/>
      <c r="K570" s="44"/>
      <c r="L570" s="44"/>
    </row>
    <row r="571" spans="5:12">
      <c r="E571" s="44"/>
      <c r="K571" s="44"/>
      <c r="L571" s="44"/>
    </row>
    <row r="572" spans="5:12">
      <c r="E572" s="44"/>
      <c r="K572" s="44"/>
      <c r="L572" s="44"/>
    </row>
    <row r="573" spans="5:12">
      <c r="E573" s="44"/>
      <c r="K573" s="44"/>
      <c r="L573" s="44"/>
    </row>
    <row r="574" spans="5:12">
      <c r="E574" s="44"/>
      <c r="K574" s="44"/>
      <c r="L574" s="44"/>
    </row>
    <row r="575" spans="5:12">
      <c r="E575" s="44"/>
      <c r="K575" s="44"/>
      <c r="L575" s="44"/>
    </row>
    <row r="576" spans="5:12">
      <c r="E576" s="44"/>
      <c r="K576" s="44"/>
      <c r="L576" s="44"/>
    </row>
    <row r="577" spans="5:12">
      <c r="E577" s="44"/>
      <c r="K577" s="44"/>
      <c r="L577" s="44"/>
    </row>
    <row r="578" spans="5:12">
      <c r="E578" s="44"/>
      <c r="K578" s="44"/>
      <c r="L578" s="44"/>
    </row>
    <row r="579" spans="5:12">
      <c r="E579" s="44"/>
      <c r="K579" s="44"/>
      <c r="L579" s="44"/>
    </row>
    <row r="580" spans="5:12">
      <c r="E580" s="44"/>
      <c r="K580" s="44"/>
      <c r="L580" s="44"/>
    </row>
    <row r="581" spans="5:12">
      <c r="E581" s="44"/>
      <c r="K581" s="44"/>
      <c r="L581" s="44"/>
    </row>
    <row r="582" spans="5:12">
      <c r="E582" s="44"/>
      <c r="K582" s="44"/>
      <c r="L582" s="44"/>
    </row>
    <row r="583" spans="5:12">
      <c r="E583" s="44"/>
      <c r="K583" s="44"/>
      <c r="L583" s="44"/>
    </row>
    <row r="584" spans="5:12">
      <c r="E584" s="44"/>
      <c r="K584" s="44"/>
      <c r="L584" s="44"/>
    </row>
    <row r="585" spans="5:12">
      <c r="E585" s="44"/>
      <c r="K585" s="44"/>
      <c r="L585" s="44"/>
    </row>
    <row r="586" spans="5:12">
      <c r="E586" s="44"/>
      <c r="K586" s="44"/>
      <c r="L586" s="44"/>
    </row>
    <row r="587" spans="5:12">
      <c r="E587" s="44"/>
      <c r="K587" s="44"/>
      <c r="L587" s="44"/>
    </row>
    <row r="588" spans="5:12">
      <c r="E588" s="44"/>
      <c r="K588" s="44"/>
      <c r="L588" s="44"/>
    </row>
    <row r="589" spans="5:12">
      <c r="E589" s="44"/>
      <c r="K589" s="44"/>
      <c r="L589" s="44"/>
    </row>
    <row r="590" spans="5:12">
      <c r="E590" s="44"/>
      <c r="K590" s="44"/>
      <c r="L590" s="44"/>
    </row>
    <row r="591" spans="5:12">
      <c r="E591" s="44"/>
      <c r="K591" s="44"/>
      <c r="L591" s="44"/>
    </row>
    <row r="592" spans="5:12">
      <c r="E592" s="44"/>
      <c r="K592" s="44"/>
      <c r="L592" s="44"/>
    </row>
    <row r="593" spans="5:12">
      <c r="E593" s="44"/>
      <c r="K593" s="44"/>
      <c r="L593" s="44"/>
    </row>
    <row r="594" spans="5:12">
      <c r="E594" s="44"/>
      <c r="K594" s="44"/>
      <c r="L594" s="44"/>
    </row>
    <row r="595" spans="5:12">
      <c r="E595" s="44"/>
      <c r="K595" s="44"/>
      <c r="L595" s="44"/>
    </row>
    <row r="596" spans="5:12">
      <c r="E596" s="44"/>
      <c r="K596" s="44"/>
      <c r="L596" s="44"/>
    </row>
    <row r="597" spans="5:12">
      <c r="E597" s="44"/>
      <c r="K597" s="44"/>
      <c r="L597" s="44"/>
    </row>
    <row r="598" spans="5:12">
      <c r="E598" s="44"/>
      <c r="K598" s="44"/>
      <c r="L598" s="44"/>
    </row>
    <row r="599" spans="5:12">
      <c r="E599" s="44"/>
      <c r="K599" s="44"/>
      <c r="L599" s="44"/>
    </row>
    <row r="600" spans="5:12">
      <c r="E600" s="44"/>
      <c r="K600" s="44"/>
      <c r="L600" s="44"/>
    </row>
    <row r="601" spans="5:12">
      <c r="E601" s="44"/>
      <c r="K601" s="44"/>
      <c r="L601" s="44"/>
    </row>
    <row r="602" spans="5:12">
      <c r="E602" s="44"/>
      <c r="K602" s="44"/>
      <c r="L602" s="44"/>
    </row>
    <row r="603" spans="5:12">
      <c r="E603" s="44"/>
      <c r="K603" s="44"/>
      <c r="L603" s="44"/>
    </row>
    <row r="604" spans="5:12">
      <c r="E604" s="44"/>
      <c r="K604" s="44"/>
      <c r="L604" s="44"/>
    </row>
    <row r="605" spans="5:12">
      <c r="E605" s="44"/>
      <c r="K605" s="44"/>
      <c r="L605" s="44"/>
    </row>
    <row r="606" spans="5:12">
      <c r="E606" s="44"/>
      <c r="K606" s="44"/>
      <c r="L606" s="44"/>
    </row>
    <row r="607" spans="5:12">
      <c r="E607" s="44"/>
      <c r="K607" s="44"/>
      <c r="L607" s="44"/>
    </row>
    <row r="608" spans="5:12">
      <c r="E608" s="44"/>
      <c r="K608" s="44"/>
      <c r="L608" s="44"/>
    </row>
    <row r="609" spans="5:12">
      <c r="E609" s="44"/>
      <c r="K609" s="44"/>
      <c r="L609" s="44"/>
    </row>
    <row r="610" spans="5:12">
      <c r="E610" s="44"/>
      <c r="K610" s="44"/>
      <c r="L610" s="44"/>
    </row>
    <row r="611" spans="5:12">
      <c r="E611" s="44"/>
      <c r="K611" s="44"/>
      <c r="L611" s="44"/>
    </row>
    <row r="612" spans="5:12">
      <c r="E612" s="44"/>
      <c r="K612" s="44"/>
      <c r="L612" s="44"/>
    </row>
    <row r="613" spans="5:12">
      <c r="E613" s="44"/>
      <c r="K613" s="44"/>
      <c r="L613" s="44"/>
    </row>
    <row r="614" spans="5:12">
      <c r="E614" s="44"/>
      <c r="K614" s="44"/>
      <c r="L614" s="44"/>
    </row>
    <row r="615" spans="5:12">
      <c r="E615" s="44"/>
      <c r="K615" s="44"/>
      <c r="L615" s="44"/>
    </row>
    <row r="616" spans="5:12">
      <c r="E616" s="44"/>
      <c r="K616" s="44"/>
      <c r="L616" s="44"/>
    </row>
    <row r="617" spans="5:12">
      <c r="E617" s="44"/>
      <c r="K617" s="44"/>
      <c r="L617" s="44"/>
    </row>
    <row r="618" spans="5:12">
      <c r="E618" s="44"/>
      <c r="K618" s="44"/>
      <c r="L618" s="44"/>
    </row>
    <row r="619" spans="5:12">
      <c r="E619" s="44"/>
      <c r="K619" s="44"/>
      <c r="L619" s="44"/>
    </row>
    <row r="620" spans="5:12">
      <c r="E620" s="44"/>
      <c r="K620" s="44"/>
      <c r="L620" s="44"/>
    </row>
    <row r="621" spans="5:12">
      <c r="E621" s="44"/>
      <c r="K621" s="44"/>
      <c r="L621" s="44"/>
    </row>
    <row r="622" spans="5:12">
      <c r="E622" s="44"/>
      <c r="K622" s="44"/>
      <c r="L622" s="44"/>
    </row>
    <row r="623" spans="5:12">
      <c r="E623" s="44"/>
      <c r="K623" s="44"/>
      <c r="L623" s="44"/>
    </row>
    <row r="624" spans="5:12">
      <c r="E624" s="44"/>
      <c r="K624" s="44"/>
      <c r="L624" s="44"/>
    </row>
    <row r="625" spans="5:12">
      <c r="E625" s="44"/>
      <c r="K625" s="44"/>
      <c r="L625" s="44"/>
    </row>
    <row r="626" spans="5:12">
      <c r="E626" s="44"/>
      <c r="K626" s="44"/>
      <c r="L626" s="44"/>
    </row>
    <row r="627" spans="5:12">
      <c r="E627" s="44"/>
      <c r="K627" s="44"/>
      <c r="L627" s="44"/>
    </row>
    <row r="628" spans="5:12">
      <c r="E628" s="44"/>
      <c r="K628" s="44"/>
      <c r="L628" s="44"/>
    </row>
    <row r="629" spans="5:12">
      <c r="E629" s="44"/>
      <c r="K629" s="44"/>
      <c r="L629" s="44"/>
    </row>
    <row r="630" spans="5:12">
      <c r="E630" s="44"/>
      <c r="K630" s="44"/>
      <c r="L630" s="44"/>
    </row>
    <row r="631" spans="5:12">
      <c r="E631" s="44"/>
      <c r="K631" s="44"/>
      <c r="L631" s="44"/>
    </row>
    <row r="632" spans="5:12">
      <c r="E632" s="44"/>
      <c r="K632" s="44"/>
      <c r="L632" s="44"/>
    </row>
    <row r="633" spans="5:12">
      <c r="E633" s="44"/>
      <c r="K633" s="44"/>
      <c r="L633" s="44"/>
    </row>
    <row r="634" spans="5:12">
      <c r="E634" s="44"/>
      <c r="K634" s="44"/>
      <c r="L634" s="44"/>
    </row>
    <row r="635" spans="5:12">
      <c r="E635" s="44"/>
      <c r="K635" s="44"/>
      <c r="L635" s="44"/>
    </row>
    <row r="636" spans="5:12">
      <c r="E636" s="44"/>
      <c r="K636" s="44"/>
      <c r="L636" s="44"/>
    </row>
    <row r="637" spans="5:12">
      <c r="E637" s="44"/>
      <c r="K637" s="44"/>
      <c r="L637" s="44"/>
    </row>
    <row r="638" spans="5:12">
      <c r="E638" s="44"/>
      <c r="K638" s="44"/>
      <c r="L638" s="44"/>
    </row>
    <row r="639" spans="5:12">
      <c r="E639" s="44"/>
      <c r="K639" s="44"/>
      <c r="L639" s="44"/>
    </row>
    <row r="640" spans="5:12">
      <c r="E640" s="44"/>
      <c r="K640" s="44"/>
      <c r="L640" s="44"/>
    </row>
    <row r="641" spans="5:12">
      <c r="E641" s="44"/>
      <c r="K641" s="44"/>
      <c r="L641" s="44"/>
    </row>
    <row r="642" spans="5:12">
      <c r="E642" s="44"/>
      <c r="K642" s="44"/>
      <c r="L642" s="44"/>
    </row>
    <row r="643" spans="5:12">
      <c r="E643" s="44"/>
      <c r="K643" s="44"/>
      <c r="L643" s="44"/>
    </row>
    <row r="644" spans="5:12">
      <c r="E644" s="44"/>
      <c r="K644" s="44"/>
      <c r="L644" s="44"/>
    </row>
    <row r="645" spans="5:12">
      <c r="E645" s="44"/>
      <c r="K645" s="44"/>
      <c r="L645" s="44"/>
    </row>
    <row r="646" spans="5:12">
      <c r="E646" s="44"/>
      <c r="K646" s="44"/>
      <c r="L646" s="44"/>
    </row>
    <row r="647" spans="5:12">
      <c r="E647" s="44"/>
      <c r="K647" s="44"/>
      <c r="L647" s="44"/>
    </row>
    <row r="648" spans="5:12">
      <c r="E648" s="44"/>
      <c r="K648" s="44"/>
      <c r="L648" s="44"/>
    </row>
    <row r="649" spans="5:12">
      <c r="E649" s="44"/>
      <c r="K649" s="44"/>
      <c r="L649" s="44"/>
    </row>
    <row r="650" spans="5:12">
      <c r="E650" s="44"/>
      <c r="K650" s="44"/>
      <c r="L650" s="44"/>
    </row>
    <row r="651" spans="5:12">
      <c r="E651" s="44"/>
      <c r="K651" s="44"/>
      <c r="L651" s="44"/>
    </row>
    <row r="652" spans="5:12">
      <c r="E652" s="44"/>
      <c r="K652" s="44"/>
      <c r="L652" s="44"/>
    </row>
    <row r="653" spans="5:12">
      <c r="E653" s="44"/>
      <c r="K653" s="44"/>
      <c r="L653" s="44"/>
    </row>
    <row r="654" spans="5:12">
      <c r="E654" s="44"/>
      <c r="K654" s="44"/>
      <c r="L654" s="44"/>
    </row>
    <row r="655" spans="5:12">
      <c r="E655" s="44"/>
      <c r="K655" s="44"/>
      <c r="L655" s="44"/>
    </row>
    <row r="656" spans="5:12">
      <c r="E656" s="44"/>
      <c r="K656" s="44"/>
      <c r="L656" s="44"/>
    </row>
    <row r="657" spans="5:12">
      <c r="E657" s="44"/>
      <c r="K657" s="44"/>
      <c r="L657" s="44"/>
    </row>
    <row r="658" spans="5:12">
      <c r="E658" s="44"/>
      <c r="K658" s="44"/>
      <c r="L658" s="44"/>
    </row>
    <row r="659" spans="5:12">
      <c r="E659" s="44"/>
      <c r="K659" s="44"/>
      <c r="L659" s="44"/>
    </row>
    <row r="660" spans="5:12">
      <c r="E660" s="44"/>
      <c r="K660" s="44"/>
      <c r="L660" s="44"/>
    </row>
    <row r="661" spans="5:12">
      <c r="E661" s="44"/>
      <c r="K661" s="44"/>
      <c r="L661" s="44"/>
    </row>
    <row r="662" spans="5:12">
      <c r="E662" s="44"/>
      <c r="K662" s="44"/>
      <c r="L662" s="44"/>
    </row>
    <row r="663" spans="5:12">
      <c r="E663" s="44"/>
      <c r="K663" s="44"/>
      <c r="L663" s="44"/>
    </row>
    <row r="664" spans="5:12">
      <c r="E664" s="44"/>
      <c r="K664" s="44"/>
      <c r="L664" s="44"/>
    </row>
    <row r="665" spans="5:12">
      <c r="E665" s="44"/>
      <c r="K665" s="44"/>
      <c r="L665" s="44"/>
    </row>
    <row r="666" spans="5:12">
      <c r="E666" s="44"/>
      <c r="K666" s="44"/>
      <c r="L666" s="44"/>
    </row>
    <row r="667" spans="5:12">
      <c r="E667" s="44"/>
      <c r="K667" s="44"/>
      <c r="L667" s="44"/>
    </row>
    <row r="668" spans="5:12">
      <c r="E668" s="44"/>
      <c r="K668" s="44"/>
      <c r="L668" s="44"/>
    </row>
    <row r="669" spans="5:12">
      <c r="E669" s="44"/>
      <c r="K669" s="44"/>
      <c r="L669" s="44"/>
    </row>
    <row r="670" spans="5:12">
      <c r="E670" s="44"/>
      <c r="K670" s="44"/>
      <c r="L670" s="44"/>
    </row>
    <row r="671" spans="5:12">
      <c r="E671" s="44"/>
      <c r="K671" s="44"/>
      <c r="L671" s="44"/>
    </row>
    <row r="672" spans="5:12">
      <c r="E672" s="44"/>
      <c r="K672" s="44"/>
      <c r="L672" s="44"/>
    </row>
    <row r="673" spans="5:12">
      <c r="E673" s="44"/>
      <c r="K673" s="44"/>
      <c r="L673" s="44"/>
    </row>
    <row r="674" spans="5:12">
      <c r="E674" s="44"/>
      <c r="K674" s="44"/>
      <c r="L674" s="44"/>
    </row>
    <row r="675" spans="5:12">
      <c r="E675" s="44"/>
      <c r="K675" s="44"/>
      <c r="L675" s="44"/>
    </row>
    <row r="676" spans="5:12">
      <c r="E676" s="44"/>
      <c r="K676" s="44"/>
      <c r="L676" s="44"/>
    </row>
    <row r="677" spans="5:12">
      <c r="E677" s="44"/>
      <c r="K677" s="44"/>
      <c r="L677" s="44"/>
    </row>
    <row r="678" spans="5:12">
      <c r="E678" s="44"/>
      <c r="K678" s="44"/>
      <c r="L678" s="44"/>
    </row>
    <row r="679" spans="5:12">
      <c r="E679" s="44"/>
      <c r="K679" s="44"/>
      <c r="L679" s="44"/>
    </row>
    <row r="680" spans="5:12">
      <c r="E680" s="44"/>
      <c r="K680" s="44"/>
      <c r="L680" s="44"/>
    </row>
    <row r="681" spans="5:12">
      <c r="E681" s="44"/>
      <c r="K681" s="44"/>
      <c r="L681" s="44"/>
    </row>
    <row r="682" spans="5:12">
      <c r="E682" s="44"/>
      <c r="K682" s="44"/>
      <c r="L682" s="44"/>
    </row>
    <row r="683" spans="5:12">
      <c r="E683" s="44"/>
      <c r="K683" s="44"/>
      <c r="L683" s="44"/>
    </row>
    <row r="684" spans="5:12">
      <c r="E684" s="44"/>
      <c r="K684" s="44"/>
      <c r="L684" s="44"/>
    </row>
    <row r="685" spans="5:12">
      <c r="E685" s="44"/>
      <c r="K685" s="44"/>
      <c r="L685" s="44"/>
    </row>
    <row r="686" spans="5:12">
      <c r="E686" s="44"/>
      <c r="K686" s="44"/>
      <c r="L686" s="44"/>
    </row>
    <row r="687" spans="5:12">
      <c r="E687" s="44"/>
      <c r="K687" s="44"/>
      <c r="L687" s="44"/>
    </row>
    <row r="688" spans="5:12">
      <c r="E688" s="44"/>
      <c r="K688" s="44"/>
      <c r="L688" s="44"/>
    </row>
    <row r="689" spans="5:12">
      <c r="E689" s="44"/>
      <c r="K689" s="44"/>
      <c r="L689" s="44"/>
    </row>
    <row r="690" spans="5:12">
      <c r="E690" s="44"/>
      <c r="K690" s="44"/>
      <c r="L690" s="44"/>
    </row>
    <row r="691" spans="5:12">
      <c r="E691" s="44"/>
      <c r="K691" s="44"/>
      <c r="L691" s="44"/>
    </row>
    <row r="692" spans="5:12">
      <c r="E692" s="44"/>
      <c r="K692" s="44"/>
      <c r="L692" s="44"/>
    </row>
    <row r="693" spans="5:12">
      <c r="E693" s="44"/>
      <c r="K693" s="44"/>
      <c r="L693" s="44"/>
    </row>
    <row r="694" spans="5:12">
      <c r="E694" s="44"/>
      <c r="K694" s="44"/>
      <c r="L694" s="44"/>
    </row>
    <row r="695" spans="5:12">
      <c r="E695" s="44"/>
      <c r="K695" s="44"/>
      <c r="L695" s="44"/>
    </row>
    <row r="696" spans="5:12">
      <c r="E696" s="44"/>
      <c r="K696" s="44"/>
      <c r="L696" s="44"/>
    </row>
    <row r="697" spans="5:12">
      <c r="E697" s="44"/>
      <c r="K697" s="44"/>
      <c r="L697" s="44"/>
    </row>
    <row r="698" spans="5:12">
      <c r="E698" s="44"/>
      <c r="K698" s="44"/>
      <c r="L698" s="44"/>
    </row>
    <row r="699" spans="5:12">
      <c r="E699" s="44"/>
      <c r="K699" s="44"/>
      <c r="L699" s="44"/>
    </row>
    <row r="700" spans="5:12">
      <c r="E700" s="44"/>
      <c r="K700" s="44"/>
      <c r="L700" s="44"/>
    </row>
    <row r="701" spans="5:12">
      <c r="E701" s="44"/>
      <c r="K701" s="44"/>
      <c r="L701" s="44"/>
    </row>
    <row r="702" spans="5:12">
      <c r="E702" s="44"/>
      <c r="K702" s="44"/>
      <c r="L702" s="44"/>
    </row>
    <row r="703" spans="5:12">
      <c r="E703" s="44"/>
      <c r="K703" s="44"/>
      <c r="L703" s="44"/>
    </row>
    <row r="704" spans="5:12">
      <c r="E704" s="44"/>
      <c r="K704" s="44"/>
      <c r="L704" s="44"/>
    </row>
    <row r="705" spans="5:12">
      <c r="E705" s="44"/>
      <c r="K705" s="44"/>
      <c r="L705" s="44"/>
    </row>
    <row r="706" spans="5:12">
      <c r="E706" s="44"/>
      <c r="K706" s="44"/>
      <c r="L706" s="44"/>
    </row>
    <row r="707" spans="5:12">
      <c r="E707" s="44"/>
      <c r="K707" s="44"/>
      <c r="L707" s="44"/>
    </row>
    <row r="708" spans="5:12">
      <c r="E708" s="44"/>
      <c r="K708" s="44"/>
      <c r="L708" s="44"/>
    </row>
    <row r="709" spans="5:12">
      <c r="E709" s="44"/>
      <c r="K709" s="44"/>
      <c r="L709" s="44"/>
    </row>
    <row r="710" spans="5:12">
      <c r="E710" s="44"/>
      <c r="K710" s="44"/>
      <c r="L710" s="44"/>
    </row>
    <row r="711" spans="5:12">
      <c r="E711" s="44"/>
      <c r="K711" s="44"/>
      <c r="L711" s="44"/>
    </row>
    <row r="712" spans="5:12">
      <c r="E712" s="44"/>
      <c r="K712" s="44"/>
      <c r="L712" s="44"/>
    </row>
    <row r="713" spans="5:12">
      <c r="E713" s="44"/>
      <c r="K713" s="44"/>
      <c r="L713" s="44"/>
    </row>
    <row r="714" spans="5:12">
      <c r="E714" s="44"/>
      <c r="K714" s="44"/>
      <c r="L714" s="44"/>
    </row>
    <row r="715" spans="5:12">
      <c r="E715" s="44"/>
      <c r="K715" s="44"/>
      <c r="L715" s="44"/>
    </row>
    <row r="716" spans="5:12">
      <c r="E716" s="44"/>
      <c r="K716" s="44"/>
      <c r="L716" s="44"/>
    </row>
    <row r="717" spans="5:12">
      <c r="E717" s="44"/>
      <c r="K717" s="44"/>
      <c r="L717" s="44"/>
    </row>
    <row r="718" spans="5:12">
      <c r="E718" s="44"/>
      <c r="K718" s="44"/>
      <c r="L718" s="44"/>
    </row>
    <row r="719" spans="5:12">
      <c r="E719" s="44"/>
      <c r="K719" s="44"/>
      <c r="L719" s="44"/>
    </row>
    <row r="720" spans="5:12">
      <c r="E720" s="44"/>
      <c r="K720" s="44"/>
      <c r="L720" s="44"/>
    </row>
    <row r="721" spans="5:12">
      <c r="E721" s="44"/>
      <c r="K721" s="44"/>
      <c r="L721" s="44"/>
    </row>
    <row r="722" spans="5:12">
      <c r="E722" s="44"/>
      <c r="K722" s="44"/>
      <c r="L722" s="44"/>
    </row>
    <row r="723" spans="5:12">
      <c r="E723" s="44"/>
      <c r="K723" s="44"/>
      <c r="L723" s="44"/>
    </row>
    <row r="724" spans="5:12">
      <c r="E724" s="44"/>
      <c r="K724" s="44"/>
      <c r="L724" s="44"/>
    </row>
    <row r="725" spans="5:12">
      <c r="E725" s="44"/>
      <c r="K725" s="44"/>
      <c r="L725" s="44"/>
    </row>
    <row r="726" spans="5:12">
      <c r="E726" s="44"/>
      <c r="K726" s="44"/>
      <c r="L726" s="44"/>
    </row>
    <row r="727" spans="5:12">
      <c r="E727" s="44"/>
      <c r="K727" s="44"/>
      <c r="L727" s="44"/>
    </row>
    <row r="728" spans="5:12">
      <c r="E728" s="44"/>
      <c r="K728" s="44"/>
      <c r="L728" s="44"/>
    </row>
    <row r="729" spans="5:12">
      <c r="E729" s="44"/>
      <c r="K729" s="44"/>
      <c r="L729" s="44"/>
    </row>
    <row r="730" spans="5:12">
      <c r="E730" s="44"/>
      <c r="K730" s="44"/>
      <c r="L730" s="44"/>
    </row>
    <row r="731" spans="5:12">
      <c r="E731" s="44"/>
      <c r="K731" s="44"/>
      <c r="L731" s="44"/>
    </row>
    <row r="732" spans="5:12">
      <c r="E732" s="44"/>
      <c r="K732" s="44"/>
      <c r="L732" s="44"/>
    </row>
    <row r="733" spans="5:12">
      <c r="E733" s="44"/>
      <c r="K733" s="44"/>
      <c r="L733" s="44"/>
    </row>
    <row r="734" spans="5:12">
      <c r="E734" s="44"/>
      <c r="K734" s="44"/>
      <c r="L734" s="44"/>
    </row>
    <row r="735" spans="5:12">
      <c r="E735" s="44"/>
      <c r="K735" s="44"/>
      <c r="L735" s="44"/>
    </row>
    <row r="736" spans="5:12">
      <c r="E736" s="44"/>
      <c r="K736" s="44"/>
      <c r="L736" s="44"/>
    </row>
    <row r="737" spans="5:12">
      <c r="E737" s="44"/>
      <c r="K737" s="44"/>
      <c r="L737" s="44"/>
    </row>
    <row r="738" spans="5:12">
      <c r="E738" s="44"/>
      <c r="K738" s="44"/>
      <c r="L738" s="44"/>
    </row>
    <row r="739" spans="5:12">
      <c r="E739" s="44"/>
      <c r="K739" s="44"/>
      <c r="L739" s="44"/>
    </row>
    <row r="740" spans="5:12">
      <c r="E740" s="44"/>
      <c r="K740" s="44"/>
      <c r="L740" s="44"/>
    </row>
    <row r="741" spans="5:12">
      <c r="E741" s="44"/>
      <c r="K741" s="44"/>
      <c r="L741" s="44"/>
    </row>
    <row r="742" spans="5:12">
      <c r="E742" s="44"/>
      <c r="K742" s="44"/>
      <c r="L742" s="44"/>
    </row>
    <row r="743" spans="5:12">
      <c r="E743" s="44"/>
      <c r="K743" s="44"/>
      <c r="L743" s="44"/>
    </row>
    <row r="744" spans="5:12">
      <c r="E744" s="44"/>
      <c r="K744" s="44"/>
      <c r="L744" s="44"/>
    </row>
    <row r="745" spans="5:12">
      <c r="E745" s="44"/>
      <c r="K745" s="44"/>
      <c r="L745" s="44"/>
    </row>
    <row r="746" spans="5:12">
      <c r="E746" s="44"/>
      <c r="K746" s="44"/>
      <c r="L746" s="44"/>
    </row>
    <row r="747" spans="5:12">
      <c r="E747" s="44"/>
      <c r="K747" s="44"/>
      <c r="L747" s="44"/>
    </row>
    <row r="748" spans="5:12">
      <c r="E748" s="44"/>
      <c r="K748" s="44"/>
      <c r="L748" s="44"/>
    </row>
    <row r="749" spans="5:12">
      <c r="E749" s="44"/>
      <c r="K749" s="44"/>
      <c r="L749" s="44"/>
    </row>
    <row r="750" spans="5:12">
      <c r="E750" s="44"/>
      <c r="K750" s="44"/>
      <c r="L750" s="44"/>
    </row>
    <row r="751" spans="5:12">
      <c r="E751" s="44"/>
      <c r="K751" s="44"/>
      <c r="L751" s="44"/>
    </row>
    <row r="752" spans="5:12">
      <c r="E752" s="44"/>
      <c r="K752" s="44"/>
      <c r="L752" s="44"/>
    </row>
    <row r="753" spans="5:12">
      <c r="E753" s="44"/>
      <c r="K753" s="44"/>
      <c r="L753" s="44"/>
    </row>
    <row r="754" spans="5:12">
      <c r="E754" s="44"/>
      <c r="K754" s="44"/>
      <c r="L754" s="44"/>
    </row>
    <row r="755" spans="5:12">
      <c r="E755" s="44"/>
      <c r="K755" s="44"/>
      <c r="L755" s="44"/>
    </row>
    <row r="756" spans="5:12">
      <c r="E756" s="44"/>
      <c r="K756" s="44"/>
      <c r="L756" s="44"/>
    </row>
    <row r="757" spans="5:12">
      <c r="E757" s="44"/>
      <c r="K757" s="44"/>
      <c r="L757" s="44"/>
    </row>
    <row r="758" spans="5:12">
      <c r="E758" s="44"/>
      <c r="K758" s="44"/>
      <c r="L758" s="44"/>
    </row>
    <row r="759" spans="5:12">
      <c r="E759" s="44"/>
      <c r="K759" s="44"/>
      <c r="L759" s="44"/>
    </row>
    <row r="760" spans="5:12">
      <c r="E760" s="44"/>
      <c r="K760" s="44"/>
      <c r="L760" s="44"/>
    </row>
    <row r="761" spans="5:12">
      <c r="E761" s="44"/>
      <c r="K761" s="44"/>
      <c r="L761" s="44"/>
    </row>
    <row r="762" spans="5:12">
      <c r="E762" s="44"/>
      <c r="K762" s="44"/>
      <c r="L762" s="44"/>
    </row>
    <row r="763" spans="5:12">
      <c r="E763" s="44"/>
      <c r="K763" s="44"/>
      <c r="L763" s="44"/>
    </row>
    <row r="764" spans="5:12">
      <c r="E764" s="44"/>
      <c r="K764" s="44"/>
      <c r="L764" s="44"/>
    </row>
    <row r="765" spans="5:12">
      <c r="E765" s="44"/>
      <c r="K765" s="44"/>
      <c r="L765" s="44"/>
    </row>
    <row r="766" spans="5:12">
      <c r="E766" s="44"/>
      <c r="K766" s="44"/>
      <c r="L766" s="44"/>
    </row>
    <row r="767" spans="5:12">
      <c r="E767" s="44"/>
      <c r="K767" s="44"/>
      <c r="L767" s="44"/>
    </row>
    <row r="768" spans="5:12">
      <c r="E768" s="44"/>
      <c r="K768" s="44"/>
      <c r="L768" s="44"/>
    </row>
    <row r="769" spans="5:12">
      <c r="E769" s="44"/>
      <c r="K769" s="44"/>
      <c r="L769" s="44"/>
    </row>
    <row r="770" spans="5:12">
      <c r="E770" s="44"/>
      <c r="K770" s="44"/>
      <c r="L770" s="44"/>
    </row>
    <row r="771" spans="5:12">
      <c r="E771" s="44"/>
      <c r="K771" s="44"/>
      <c r="L771" s="44"/>
    </row>
    <row r="772" spans="5:12">
      <c r="E772" s="44"/>
      <c r="K772" s="44"/>
      <c r="L772" s="44"/>
    </row>
    <row r="773" spans="5:12">
      <c r="E773" s="44"/>
      <c r="K773" s="44"/>
      <c r="L773" s="44"/>
    </row>
    <row r="774" spans="5:12">
      <c r="E774" s="44"/>
      <c r="K774" s="44"/>
      <c r="L774" s="44"/>
    </row>
    <row r="775" spans="5:12">
      <c r="E775" s="44"/>
      <c r="K775" s="44"/>
      <c r="L775" s="44"/>
    </row>
    <row r="776" spans="5:12">
      <c r="E776" s="44"/>
      <c r="K776" s="44"/>
      <c r="L776" s="44"/>
    </row>
    <row r="777" spans="5:12">
      <c r="E777" s="44"/>
      <c r="K777" s="44"/>
      <c r="L777" s="44"/>
    </row>
    <row r="778" spans="5:12">
      <c r="E778" s="44"/>
      <c r="K778" s="44"/>
      <c r="L778" s="44"/>
    </row>
    <row r="779" spans="5:12">
      <c r="E779" s="44"/>
      <c r="K779" s="44"/>
      <c r="L779" s="44"/>
    </row>
    <row r="780" spans="5:12">
      <c r="E780" s="44"/>
      <c r="K780" s="44"/>
      <c r="L780" s="44"/>
    </row>
    <row r="781" spans="5:12">
      <c r="E781" s="44"/>
      <c r="K781" s="44"/>
      <c r="L781" s="44"/>
    </row>
    <row r="782" spans="5:12">
      <c r="E782" s="44"/>
      <c r="K782" s="44"/>
      <c r="L782" s="44"/>
    </row>
    <row r="783" spans="5:12">
      <c r="E783" s="44"/>
      <c r="K783" s="44"/>
      <c r="L783" s="44"/>
    </row>
    <row r="784" spans="5:12">
      <c r="E784" s="44"/>
      <c r="K784" s="44"/>
      <c r="L784" s="44"/>
    </row>
    <row r="785" spans="5:12">
      <c r="E785" s="44"/>
      <c r="K785" s="44"/>
      <c r="L785" s="44"/>
    </row>
    <row r="786" spans="5:12">
      <c r="E786" s="44"/>
      <c r="K786" s="44"/>
      <c r="L786" s="44"/>
    </row>
    <row r="787" spans="5:12">
      <c r="E787" s="44"/>
      <c r="K787" s="44"/>
      <c r="L787" s="44"/>
    </row>
    <row r="788" spans="5:12">
      <c r="E788" s="44"/>
      <c r="K788" s="44"/>
      <c r="L788" s="44"/>
    </row>
    <row r="789" spans="5:12">
      <c r="E789" s="44"/>
      <c r="K789" s="44"/>
      <c r="L789" s="44"/>
    </row>
    <row r="790" spans="5:12">
      <c r="E790" s="44"/>
      <c r="K790" s="44"/>
      <c r="L790" s="44"/>
    </row>
    <row r="791" spans="5:12">
      <c r="E791" s="44"/>
      <c r="K791" s="44"/>
      <c r="L791" s="44"/>
    </row>
    <row r="792" spans="5:12">
      <c r="E792" s="44"/>
      <c r="K792" s="44"/>
      <c r="L792" s="44"/>
    </row>
    <row r="793" spans="5:12">
      <c r="E793" s="44"/>
      <c r="K793" s="44"/>
      <c r="L793" s="44"/>
    </row>
    <row r="794" spans="5:12">
      <c r="E794" s="44"/>
      <c r="K794" s="44"/>
      <c r="L794" s="44"/>
    </row>
    <row r="795" spans="5:12">
      <c r="E795" s="44"/>
      <c r="K795" s="44"/>
      <c r="L795" s="44"/>
    </row>
    <row r="796" spans="5:12">
      <c r="E796" s="44"/>
      <c r="K796" s="44"/>
      <c r="L796" s="44"/>
    </row>
    <row r="797" spans="5:12">
      <c r="E797" s="44"/>
      <c r="K797" s="44"/>
      <c r="L797" s="44"/>
    </row>
    <row r="798" spans="5:12">
      <c r="E798" s="44"/>
      <c r="K798" s="44"/>
      <c r="L798" s="44"/>
    </row>
    <row r="799" spans="5:12">
      <c r="E799" s="44"/>
      <c r="K799" s="44"/>
      <c r="L799" s="44"/>
    </row>
    <row r="800" spans="5:12">
      <c r="E800" s="44"/>
      <c r="K800" s="44"/>
      <c r="L800" s="44"/>
    </row>
    <row r="801" spans="5:12">
      <c r="E801" s="44"/>
      <c r="K801" s="44"/>
      <c r="L801" s="44"/>
    </row>
    <row r="802" spans="5:12">
      <c r="E802" s="44"/>
      <c r="K802" s="44"/>
      <c r="L802" s="44"/>
    </row>
    <row r="803" spans="5:12">
      <c r="E803" s="44"/>
      <c r="K803" s="44"/>
      <c r="L803" s="44"/>
    </row>
    <row r="804" spans="5:12">
      <c r="E804" s="44"/>
      <c r="K804" s="44"/>
      <c r="L804" s="44"/>
    </row>
    <row r="805" spans="5:12">
      <c r="E805" s="44"/>
      <c r="K805" s="44"/>
      <c r="L805" s="44"/>
    </row>
    <row r="806" spans="5:12">
      <c r="E806" s="44"/>
      <c r="K806" s="44"/>
      <c r="L806" s="44"/>
    </row>
    <row r="807" spans="5:12">
      <c r="E807" s="44"/>
      <c r="K807" s="44"/>
      <c r="L807" s="44"/>
    </row>
    <row r="808" spans="5:12">
      <c r="E808" s="44"/>
      <c r="K808" s="44"/>
      <c r="L808" s="44"/>
    </row>
    <row r="809" spans="5:12">
      <c r="E809" s="44"/>
      <c r="K809" s="44"/>
      <c r="L809" s="44"/>
    </row>
    <row r="810" spans="5:12">
      <c r="E810" s="44"/>
      <c r="K810" s="44"/>
      <c r="L810" s="44"/>
    </row>
    <row r="811" spans="5:12">
      <c r="E811" s="44"/>
      <c r="K811" s="44"/>
      <c r="L811" s="44"/>
    </row>
    <row r="812" spans="5:12">
      <c r="E812" s="44"/>
      <c r="K812" s="44"/>
      <c r="L812" s="44"/>
    </row>
    <row r="813" spans="5:12">
      <c r="E813" s="44"/>
      <c r="K813" s="44"/>
      <c r="L813" s="44"/>
    </row>
    <row r="814" spans="5:12">
      <c r="E814" s="44"/>
      <c r="K814" s="44"/>
      <c r="L814" s="44"/>
    </row>
    <row r="815" spans="5:12">
      <c r="E815" s="44"/>
      <c r="K815" s="44"/>
      <c r="L815" s="44"/>
    </row>
    <row r="816" spans="5:12">
      <c r="E816" s="44"/>
      <c r="K816" s="44"/>
      <c r="L816" s="44"/>
    </row>
    <row r="817" spans="5:12">
      <c r="E817" s="44"/>
      <c r="K817" s="44"/>
      <c r="L817" s="44"/>
    </row>
    <row r="818" spans="5:12">
      <c r="E818" s="44"/>
      <c r="K818" s="44"/>
      <c r="L818" s="44"/>
    </row>
    <row r="819" spans="5:12">
      <c r="E819" s="44"/>
      <c r="K819" s="44"/>
      <c r="L819" s="44"/>
    </row>
    <row r="820" spans="5:12">
      <c r="E820" s="44"/>
      <c r="K820" s="44"/>
      <c r="L820" s="44"/>
    </row>
    <row r="821" spans="5:12">
      <c r="E821" s="44"/>
      <c r="K821" s="44"/>
      <c r="L821" s="44"/>
    </row>
    <row r="822" spans="5:12">
      <c r="E822" s="44"/>
      <c r="K822" s="44"/>
      <c r="L822" s="44"/>
    </row>
    <row r="823" spans="5:12">
      <c r="E823" s="44"/>
      <c r="K823" s="44"/>
      <c r="L823" s="44"/>
    </row>
    <row r="824" spans="5:12">
      <c r="E824" s="44"/>
      <c r="K824" s="44"/>
      <c r="L824" s="44"/>
    </row>
    <row r="825" spans="5:12">
      <c r="E825" s="44"/>
      <c r="K825" s="44"/>
      <c r="L825" s="44"/>
    </row>
    <row r="826" spans="5:12">
      <c r="E826" s="44"/>
      <c r="K826" s="44"/>
      <c r="L826" s="44"/>
    </row>
    <row r="827" spans="5:12">
      <c r="E827" s="44"/>
      <c r="K827" s="44"/>
      <c r="L827" s="44"/>
    </row>
    <row r="828" spans="5:12">
      <c r="E828" s="44"/>
      <c r="K828" s="44"/>
      <c r="L828" s="44"/>
    </row>
    <row r="829" spans="5:12">
      <c r="E829" s="44"/>
      <c r="K829" s="44"/>
      <c r="L829" s="44"/>
    </row>
    <row r="830" spans="5:12">
      <c r="E830" s="44"/>
      <c r="K830" s="44"/>
      <c r="L830" s="44"/>
    </row>
    <row r="831" spans="5:12">
      <c r="E831" s="44"/>
      <c r="K831" s="44"/>
      <c r="L831" s="44"/>
    </row>
    <row r="832" spans="5:12">
      <c r="E832" s="44"/>
      <c r="K832" s="44"/>
      <c r="L832" s="44"/>
    </row>
    <row r="833" spans="5:12">
      <c r="E833" s="44"/>
      <c r="K833" s="44"/>
      <c r="L833" s="44"/>
    </row>
    <row r="834" spans="5:12">
      <c r="E834" s="44"/>
      <c r="K834" s="44"/>
      <c r="L834" s="44"/>
    </row>
    <row r="835" spans="5:12">
      <c r="E835" s="44"/>
      <c r="K835" s="44"/>
      <c r="L835" s="44"/>
    </row>
    <row r="836" spans="5:12">
      <c r="E836" s="44"/>
      <c r="K836" s="44"/>
      <c r="L836" s="44"/>
    </row>
    <row r="837" spans="5:12">
      <c r="E837" s="44"/>
      <c r="K837" s="44"/>
      <c r="L837" s="44"/>
    </row>
    <row r="838" spans="5:12">
      <c r="E838" s="44"/>
      <c r="K838" s="44"/>
      <c r="L838" s="44"/>
    </row>
    <row r="839" spans="5:12">
      <c r="E839" s="44"/>
      <c r="K839" s="44"/>
      <c r="L839" s="44"/>
    </row>
    <row r="840" spans="5:12">
      <c r="E840" s="44"/>
      <c r="K840" s="44"/>
      <c r="L840" s="44"/>
    </row>
    <row r="841" spans="5:12">
      <c r="E841" s="44"/>
      <c r="K841" s="44"/>
      <c r="L841" s="44"/>
    </row>
    <row r="842" spans="5:12">
      <c r="E842" s="44"/>
      <c r="K842" s="44"/>
      <c r="L842" s="44"/>
    </row>
    <row r="843" spans="5:12">
      <c r="E843" s="44"/>
      <c r="K843" s="44"/>
      <c r="L843" s="44"/>
    </row>
    <row r="844" spans="5:12">
      <c r="E844" s="44"/>
      <c r="K844" s="44"/>
      <c r="L844" s="44"/>
    </row>
    <row r="845" spans="5:12">
      <c r="E845" s="44"/>
      <c r="K845" s="44"/>
      <c r="L845" s="44"/>
    </row>
    <row r="846" spans="5:12">
      <c r="E846" s="44"/>
      <c r="K846" s="44"/>
      <c r="L846" s="44"/>
    </row>
    <row r="847" spans="5:12">
      <c r="E847" s="44"/>
      <c r="K847" s="44"/>
      <c r="L847" s="44"/>
    </row>
    <row r="848" spans="5:12">
      <c r="E848" s="44"/>
      <c r="K848" s="44"/>
      <c r="L848" s="44"/>
    </row>
    <row r="849" spans="5:12">
      <c r="E849" s="44"/>
      <c r="K849" s="44"/>
      <c r="L849" s="44"/>
    </row>
    <row r="850" spans="5:12">
      <c r="E850" s="44"/>
      <c r="K850" s="44"/>
      <c r="L850" s="44"/>
    </row>
    <row r="851" spans="5:12">
      <c r="E851" s="44"/>
      <c r="K851" s="44"/>
      <c r="L851" s="44"/>
    </row>
    <row r="852" spans="5:12">
      <c r="E852" s="44"/>
      <c r="K852" s="44"/>
      <c r="L852" s="44"/>
    </row>
    <row r="853" spans="5:12">
      <c r="E853" s="44"/>
      <c r="K853" s="44"/>
      <c r="L853" s="44"/>
    </row>
    <row r="854" spans="5:12">
      <c r="E854" s="44"/>
      <c r="K854" s="44"/>
      <c r="L854" s="44"/>
    </row>
    <row r="855" spans="5:12">
      <c r="E855" s="44"/>
      <c r="K855" s="44"/>
      <c r="L855" s="44"/>
    </row>
    <row r="856" spans="5:12">
      <c r="E856" s="44"/>
      <c r="K856" s="44"/>
      <c r="L856" s="44"/>
    </row>
    <row r="857" spans="5:12">
      <c r="E857" s="44"/>
      <c r="K857" s="44"/>
      <c r="L857" s="44"/>
    </row>
    <row r="858" spans="5:12">
      <c r="E858" s="44"/>
      <c r="K858" s="44"/>
      <c r="L858" s="44"/>
    </row>
    <row r="859" spans="5:12">
      <c r="E859" s="44"/>
      <c r="K859" s="44"/>
      <c r="L859" s="44"/>
    </row>
    <row r="860" spans="5:12">
      <c r="E860" s="44"/>
      <c r="K860" s="44"/>
      <c r="L860" s="44"/>
    </row>
    <row r="861" spans="5:12">
      <c r="E861" s="44"/>
      <c r="K861" s="44"/>
      <c r="L861" s="44"/>
    </row>
    <row r="862" spans="5:12">
      <c r="E862" s="44"/>
      <c r="K862" s="44"/>
      <c r="L862" s="44"/>
    </row>
    <row r="863" spans="5:12">
      <c r="E863" s="44"/>
      <c r="K863" s="44"/>
      <c r="L863" s="44"/>
    </row>
    <row r="864" spans="5:12">
      <c r="E864" s="44"/>
      <c r="K864" s="44"/>
      <c r="L864" s="44"/>
    </row>
    <row r="865" spans="5:12">
      <c r="E865" s="44"/>
      <c r="K865" s="44"/>
      <c r="L865" s="44"/>
    </row>
    <row r="866" spans="5:12">
      <c r="E866" s="44"/>
      <c r="K866" s="44"/>
      <c r="L866" s="44"/>
    </row>
    <row r="867" spans="5:12">
      <c r="E867" s="44"/>
      <c r="K867" s="44"/>
      <c r="L867" s="44"/>
    </row>
    <row r="868" spans="5:12">
      <c r="E868" s="44"/>
      <c r="K868" s="44"/>
      <c r="L868" s="44"/>
    </row>
    <row r="869" spans="5:12">
      <c r="E869" s="44"/>
      <c r="K869" s="44"/>
      <c r="L869" s="44"/>
    </row>
    <row r="870" spans="5:12">
      <c r="E870" s="44"/>
      <c r="K870" s="44"/>
      <c r="L870" s="44"/>
    </row>
    <row r="871" spans="5:12">
      <c r="E871" s="44"/>
      <c r="K871" s="44"/>
      <c r="L871" s="44"/>
    </row>
    <row r="872" spans="5:12">
      <c r="E872" s="44"/>
      <c r="K872" s="44"/>
      <c r="L872" s="44"/>
    </row>
    <row r="873" spans="5:12">
      <c r="E873" s="44"/>
      <c r="K873" s="44"/>
      <c r="L873" s="44"/>
    </row>
    <row r="874" spans="5:12">
      <c r="E874" s="44"/>
      <c r="K874" s="44"/>
      <c r="L874" s="44"/>
    </row>
    <row r="875" spans="5:12">
      <c r="E875" s="44"/>
      <c r="K875" s="44"/>
      <c r="L875" s="44"/>
    </row>
    <row r="876" spans="5:12">
      <c r="E876" s="44"/>
      <c r="K876" s="44"/>
      <c r="L876" s="44"/>
    </row>
    <row r="877" spans="5:12">
      <c r="E877" s="44"/>
      <c r="K877" s="44"/>
      <c r="L877" s="44"/>
    </row>
    <row r="878" spans="5:12">
      <c r="E878" s="44"/>
      <c r="K878" s="44"/>
      <c r="L878" s="44"/>
    </row>
    <row r="879" spans="5:12">
      <c r="E879" s="44"/>
      <c r="K879" s="44"/>
      <c r="L879" s="44"/>
    </row>
    <row r="880" spans="5:12">
      <c r="E880" s="44"/>
      <c r="K880" s="44"/>
      <c r="L880" s="44"/>
    </row>
    <row r="881" spans="5:12">
      <c r="E881" s="44"/>
      <c r="K881" s="44"/>
      <c r="L881" s="44"/>
    </row>
    <row r="882" spans="5:12">
      <c r="E882" s="44"/>
      <c r="K882" s="44"/>
      <c r="L882" s="44"/>
    </row>
    <row r="883" spans="5:12">
      <c r="E883" s="44"/>
      <c r="K883" s="44"/>
      <c r="L883" s="44"/>
    </row>
    <row r="884" spans="5:12">
      <c r="E884" s="44"/>
      <c r="K884" s="44"/>
      <c r="L884" s="44"/>
    </row>
    <row r="885" spans="5:12">
      <c r="E885" s="44"/>
      <c r="K885" s="44"/>
      <c r="L885" s="44"/>
    </row>
    <row r="886" spans="5:12">
      <c r="E886" s="44"/>
      <c r="K886" s="44"/>
      <c r="L886" s="44"/>
    </row>
    <row r="887" spans="5:12">
      <c r="E887" s="44"/>
      <c r="K887" s="44"/>
      <c r="L887" s="44"/>
    </row>
    <row r="888" spans="5:12">
      <c r="E888" s="44"/>
      <c r="K888" s="44"/>
      <c r="L888" s="44"/>
    </row>
    <row r="889" spans="5:12">
      <c r="E889" s="44"/>
      <c r="K889" s="44"/>
      <c r="L889" s="44"/>
    </row>
    <row r="890" spans="5:12">
      <c r="E890" s="44"/>
      <c r="K890" s="44"/>
      <c r="L890" s="44"/>
    </row>
    <row r="891" spans="5:12">
      <c r="E891" s="44"/>
      <c r="K891" s="44"/>
      <c r="L891" s="44"/>
    </row>
    <row r="892" spans="5:12">
      <c r="E892" s="44"/>
      <c r="K892" s="44"/>
      <c r="L892" s="44"/>
    </row>
    <row r="893" spans="5:12">
      <c r="E893" s="44"/>
      <c r="K893" s="44"/>
      <c r="L893" s="44"/>
    </row>
    <row r="894" spans="5:12">
      <c r="E894" s="44"/>
      <c r="K894" s="44"/>
      <c r="L894" s="44"/>
    </row>
    <row r="895" spans="5:12">
      <c r="E895" s="44"/>
      <c r="K895" s="44"/>
      <c r="L895" s="44"/>
    </row>
    <row r="896" spans="5:12">
      <c r="E896" s="44"/>
      <c r="K896" s="44"/>
      <c r="L896" s="44"/>
    </row>
    <row r="897" spans="5:12">
      <c r="E897" s="44"/>
      <c r="K897" s="44"/>
      <c r="L897" s="44"/>
    </row>
    <row r="898" spans="5:12">
      <c r="E898" s="44"/>
      <c r="K898" s="44"/>
      <c r="L898" s="44"/>
    </row>
    <row r="899" spans="5:12">
      <c r="E899" s="44"/>
      <c r="K899" s="44"/>
      <c r="L899" s="44"/>
    </row>
    <row r="900" spans="5:12">
      <c r="E900" s="44"/>
      <c r="K900" s="44"/>
      <c r="L900" s="44"/>
    </row>
    <row r="901" spans="5:12">
      <c r="E901" s="44"/>
      <c r="K901" s="44"/>
      <c r="L901" s="44"/>
    </row>
    <row r="902" spans="5:12">
      <c r="E902" s="44"/>
      <c r="K902" s="44"/>
      <c r="L902" s="44"/>
    </row>
    <row r="903" spans="5:12">
      <c r="E903" s="44"/>
      <c r="K903" s="44"/>
      <c r="L903" s="44"/>
    </row>
    <row r="904" spans="5:12">
      <c r="E904" s="44"/>
      <c r="K904" s="44"/>
      <c r="L904" s="44"/>
    </row>
    <row r="905" spans="5:12">
      <c r="E905" s="44"/>
      <c r="K905" s="44"/>
      <c r="L905" s="44"/>
    </row>
    <row r="906" spans="5:12">
      <c r="E906" s="44"/>
      <c r="K906" s="44"/>
      <c r="L906" s="44"/>
    </row>
    <row r="907" spans="5:12">
      <c r="E907" s="44"/>
      <c r="K907" s="44"/>
      <c r="L907" s="44"/>
    </row>
    <row r="908" spans="5:12">
      <c r="E908" s="44"/>
      <c r="K908" s="44"/>
      <c r="L908" s="44"/>
    </row>
    <row r="909" spans="5:12">
      <c r="E909" s="44"/>
      <c r="K909" s="44"/>
      <c r="L909" s="44"/>
    </row>
    <row r="910" spans="5:12">
      <c r="E910" s="44"/>
      <c r="K910" s="44"/>
      <c r="L910" s="44"/>
    </row>
    <row r="911" spans="5:12">
      <c r="E911" s="44"/>
      <c r="K911" s="44"/>
      <c r="L911" s="44"/>
    </row>
    <row r="912" spans="5:12">
      <c r="E912" s="44"/>
      <c r="K912" s="44"/>
      <c r="L912" s="44"/>
    </row>
    <row r="913" spans="5:12">
      <c r="E913" s="44"/>
      <c r="K913" s="44"/>
      <c r="L913" s="44"/>
    </row>
    <row r="914" spans="5:12">
      <c r="E914" s="44"/>
      <c r="K914" s="44"/>
      <c r="L914" s="44"/>
    </row>
    <row r="915" spans="5:12">
      <c r="E915" s="44"/>
      <c r="K915" s="44"/>
      <c r="L915" s="44"/>
    </row>
    <row r="916" spans="5:12">
      <c r="E916" s="44"/>
      <c r="K916" s="44"/>
      <c r="L916" s="44"/>
    </row>
    <row r="917" spans="5:12">
      <c r="E917" s="44"/>
      <c r="K917" s="44"/>
      <c r="L917" s="44"/>
    </row>
    <row r="918" spans="5:12">
      <c r="E918" s="44"/>
      <c r="K918" s="44"/>
      <c r="L918" s="44"/>
    </row>
    <row r="919" spans="5:12">
      <c r="E919" s="44"/>
      <c r="K919" s="44"/>
      <c r="L919" s="44"/>
    </row>
    <row r="920" spans="5:12">
      <c r="E920" s="44"/>
      <c r="K920" s="44"/>
      <c r="L920" s="44"/>
    </row>
    <row r="921" spans="5:12">
      <c r="E921" s="44"/>
      <c r="K921" s="44"/>
      <c r="L921" s="44"/>
    </row>
    <row r="922" spans="5:12">
      <c r="E922" s="44"/>
      <c r="K922" s="44"/>
      <c r="L922" s="44"/>
    </row>
    <row r="923" spans="5:12">
      <c r="E923" s="44"/>
      <c r="K923" s="44"/>
      <c r="L923" s="44"/>
    </row>
    <row r="924" spans="5:12">
      <c r="E924" s="44"/>
      <c r="K924" s="44"/>
      <c r="L924" s="4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A86E8"/>
    <outlinePr summaryBelow="0" summaryRight="0"/>
  </sheetPr>
  <dimension ref="A1:AA870"/>
  <sheetViews>
    <sheetView workbookViewId="0"/>
  </sheetViews>
  <sheetFormatPr defaultColWidth="14.42578125" defaultRowHeight="15" customHeight="1"/>
  <cols>
    <col min="2" max="2" width="20.42578125" style="259" customWidth="1"/>
    <col min="3" max="3" width="22.140625" style="259" customWidth="1"/>
    <col min="5" max="5" width="21.42578125" style="259" customWidth="1"/>
    <col min="6" max="6" width="25.140625" style="259" customWidth="1"/>
    <col min="8" max="8" width="24.5703125" style="259" customWidth="1"/>
    <col min="10" max="10" width="7.85546875" style="259" customWidth="1"/>
    <col min="11" max="11" width="31.7109375" style="259" customWidth="1"/>
    <col min="13" max="13" width="23" style="259" customWidth="1"/>
  </cols>
  <sheetData>
    <row r="1" spans="1:27">
      <c r="A1" s="189" t="s">
        <v>1301</v>
      </c>
      <c r="B1" s="189"/>
      <c r="C1" s="189"/>
      <c r="D1" s="189"/>
      <c r="E1" s="189"/>
      <c r="F1" s="189"/>
      <c r="G1" s="189"/>
      <c r="H1" s="189"/>
      <c r="I1" s="189"/>
      <c r="J1" s="190"/>
      <c r="K1" s="190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</row>
    <row r="2" spans="1:27">
      <c r="A2" s="192" t="s">
        <v>1116</v>
      </c>
      <c r="B2" s="192" t="s">
        <v>1117</v>
      </c>
      <c r="C2" s="192" t="s">
        <v>1118</v>
      </c>
      <c r="D2" s="192" t="s">
        <v>1119</v>
      </c>
      <c r="E2" s="192" t="s">
        <v>1120</v>
      </c>
      <c r="F2" s="192" t="s">
        <v>1121</v>
      </c>
      <c r="G2" s="192" t="s">
        <v>1122</v>
      </c>
      <c r="H2" s="192" t="s">
        <v>1123</v>
      </c>
      <c r="I2" s="192" t="s">
        <v>1207</v>
      </c>
      <c r="J2" s="190"/>
      <c r="K2" s="190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</row>
    <row r="3" spans="1:27">
      <c r="A3" s="193">
        <v>1</v>
      </c>
      <c r="B3" s="194" t="s">
        <v>1302</v>
      </c>
      <c r="C3" s="195" t="s">
        <v>70</v>
      </c>
      <c r="D3" s="196" t="s">
        <v>1061</v>
      </c>
      <c r="E3" s="196" t="s">
        <v>1211</v>
      </c>
      <c r="F3" s="196"/>
      <c r="G3" s="196"/>
      <c r="H3" s="196"/>
      <c r="I3" s="196"/>
      <c r="J3" s="190"/>
      <c r="K3" s="190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</row>
    <row r="4" spans="1:27">
      <c r="A4" s="193">
        <v>2</v>
      </c>
      <c r="B4" s="194" t="s">
        <v>1302</v>
      </c>
      <c r="C4" s="195" t="s">
        <v>75</v>
      </c>
      <c r="D4" s="196" t="s">
        <v>1063</v>
      </c>
      <c r="E4" s="196" t="s">
        <v>1217</v>
      </c>
      <c r="F4" s="196" t="s">
        <v>1303</v>
      </c>
      <c r="G4" s="196" t="s">
        <v>1701</v>
      </c>
      <c r="H4" s="197"/>
      <c r="I4" s="196"/>
      <c r="J4" s="190"/>
      <c r="K4" s="190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</row>
    <row r="5" spans="1:27" ht="36.75" customHeight="1">
      <c r="A5" s="198">
        <v>3</v>
      </c>
      <c r="B5" s="199" t="s">
        <v>1302</v>
      </c>
      <c r="C5" s="200" t="s">
        <v>1702</v>
      </c>
      <c r="D5" s="201" t="s">
        <v>1212</v>
      </c>
      <c r="E5" s="201" t="s">
        <v>1217</v>
      </c>
      <c r="F5" s="201" t="s">
        <v>1303</v>
      </c>
      <c r="G5" s="201" t="s">
        <v>1703</v>
      </c>
      <c r="H5" s="201"/>
      <c r="I5" s="201"/>
      <c r="J5" s="190"/>
      <c r="K5" s="190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</row>
    <row r="6" spans="1:27" ht="36.75" customHeight="1">
      <c r="A6" s="202">
        <v>4</v>
      </c>
      <c r="B6" s="203" t="s">
        <v>1302</v>
      </c>
      <c r="C6" s="204" t="s">
        <v>118</v>
      </c>
      <c r="D6" s="205" t="s">
        <v>1501</v>
      </c>
      <c r="E6" s="205" t="s">
        <v>1217</v>
      </c>
      <c r="F6" s="205" t="s">
        <v>1303</v>
      </c>
      <c r="G6" s="205" t="s">
        <v>1704</v>
      </c>
      <c r="H6" s="205"/>
      <c r="I6" s="205"/>
      <c r="J6" s="190"/>
      <c r="K6" s="190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</row>
    <row r="7" spans="1:27" ht="36.75" customHeight="1">
      <c r="A7" s="193">
        <v>5</v>
      </c>
      <c r="B7" s="194" t="s">
        <v>1302</v>
      </c>
      <c r="C7" s="206" t="s">
        <v>208</v>
      </c>
      <c r="D7" s="206" t="s">
        <v>1320</v>
      </c>
      <c r="E7" s="196" t="s">
        <v>1217</v>
      </c>
      <c r="F7" s="196" t="s">
        <v>1303</v>
      </c>
      <c r="G7" s="196" t="s">
        <v>1705</v>
      </c>
      <c r="H7" s="196"/>
      <c r="I7" s="196"/>
      <c r="J7" s="190"/>
      <c r="K7" s="190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</row>
    <row r="8" spans="1:27" ht="36.75" customHeight="1">
      <c r="A8" s="193">
        <v>6</v>
      </c>
      <c r="B8" s="194" t="s">
        <v>1302</v>
      </c>
      <c r="C8" s="207" t="s">
        <v>99</v>
      </c>
      <c r="D8" s="196" t="s">
        <v>1323</v>
      </c>
      <c r="E8" s="196" t="s">
        <v>1217</v>
      </c>
      <c r="F8" s="196" t="s">
        <v>1303</v>
      </c>
      <c r="G8" s="196" t="s">
        <v>1706</v>
      </c>
      <c r="H8" s="196"/>
      <c r="I8" s="196"/>
      <c r="J8" s="190"/>
      <c r="K8" s="190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</row>
    <row r="9" spans="1:27">
      <c r="A9" s="190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</row>
    <row r="10" spans="1:27">
      <c r="A10" s="189" t="s">
        <v>1058</v>
      </c>
      <c r="B10" s="189" t="s">
        <v>1059</v>
      </c>
      <c r="C10" s="189" t="s">
        <v>1065</v>
      </c>
      <c r="D10" s="189" t="s">
        <v>1066</v>
      </c>
      <c r="E10" s="189" t="s">
        <v>1067</v>
      </c>
      <c r="F10" s="189" t="s">
        <v>1068</v>
      </c>
      <c r="G10" s="189" t="s">
        <v>1069</v>
      </c>
      <c r="H10" s="189" t="s">
        <v>1070</v>
      </c>
      <c r="I10" s="189" t="s">
        <v>1071</v>
      </c>
      <c r="J10" s="189" t="s">
        <v>1072</v>
      </c>
      <c r="K10" s="189" t="s">
        <v>1073</v>
      </c>
      <c r="L10" s="191" t="s">
        <v>1454</v>
      </c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spans="1:27">
      <c r="A11" s="208" t="s">
        <v>1302</v>
      </c>
      <c r="B11" s="208"/>
      <c r="C11" s="196"/>
      <c r="D11" s="196" t="s">
        <v>1707</v>
      </c>
      <c r="E11" s="196" t="s">
        <v>150</v>
      </c>
      <c r="F11" s="196"/>
      <c r="G11" s="196" t="s">
        <v>151</v>
      </c>
      <c r="H11" s="209" t="s">
        <v>246</v>
      </c>
      <c r="I11" s="210"/>
      <c r="J11" s="211"/>
      <c r="K11" s="196" t="s">
        <v>1075</v>
      </c>
      <c r="L11" s="84" t="s">
        <v>1458</v>
      </c>
      <c r="N11" s="13" t="str">
        <f>"COMMENT ON COLUMN PG_GOLD."&amp;G11&amp;"."&amp;H11&amp;" IS '"&amp;K11&amp;"';"</f>
        <v>COMMENT ON COLUMN PG_GOLD.INTF_LOAN_DSBR.CDR_DT IS 'Ngày dữ liệu';</v>
      </c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</row>
    <row r="12" spans="1:27">
      <c r="A12" s="208" t="s">
        <v>1302</v>
      </c>
      <c r="B12" s="195" t="s">
        <v>70</v>
      </c>
      <c r="C12" s="195" t="s">
        <v>1082</v>
      </c>
      <c r="D12" s="207" t="s">
        <v>1128</v>
      </c>
      <c r="E12" s="196" t="s">
        <v>150</v>
      </c>
      <c r="F12" s="207" t="s">
        <v>928</v>
      </c>
      <c r="G12" s="196" t="s">
        <v>151</v>
      </c>
      <c r="H12" s="195" t="s">
        <v>1082</v>
      </c>
      <c r="I12" s="206" t="s">
        <v>1327</v>
      </c>
      <c r="J12" s="212">
        <v>40</v>
      </c>
      <c r="K12" s="206" t="s">
        <v>249</v>
      </c>
      <c r="L12" s="191" t="s">
        <v>1463</v>
      </c>
      <c r="M12" s="126" t="s">
        <v>1082</v>
      </c>
      <c r="N12" s="13" t="str">
        <f>"COMMENT ON COLUMN PG_GOLD."&amp;G12&amp;"."&amp;H12&amp;" IS '"&amp;K12&amp;"';"</f>
        <v>COMMENT ON COLUMN PG_GOLD.INTF_LOAN_DSBR.AR_CODE IS 'Mã hợp đồng';</v>
      </c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</row>
    <row r="13" spans="1:27">
      <c r="A13" s="208" t="s">
        <v>1302</v>
      </c>
      <c r="B13" s="195" t="s">
        <v>70</v>
      </c>
      <c r="C13" s="195" t="s">
        <v>253</v>
      </c>
      <c r="D13" s="207" t="s">
        <v>1128</v>
      </c>
      <c r="E13" s="196" t="s">
        <v>150</v>
      </c>
      <c r="F13" s="207" t="s">
        <v>847</v>
      </c>
      <c r="G13" s="196" t="s">
        <v>151</v>
      </c>
      <c r="H13" s="195" t="s">
        <v>253</v>
      </c>
      <c r="I13" s="206" t="s">
        <v>1327</v>
      </c>
      <c r="J13" s="212">
        <v>20</v>
      </c>
      <c r="K13" s="206" t="s">
        <v>254</v>
      </c>
      <c r="L13" s="191"/>
      <c r="M13" s="126" t="s">
        <v>253</v>
      </c>
      <c r="N13" s="13" t="str">
        <f>"COMMENT ON COLUMN PG_GOLD."&amp;G13&amp;"."&amp;H13&amp;" IS '"&amp;K13&amp;"';"</f>
        <v>COMMENT ON COLUMN PG_GOLD.INTF_LOAN_DSBR.CST_CODE IS 'Mã khách hàng';</v>
      </c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</row>
    <row r="14" spans="1:27">
      <c r="A14" s="208" t="s">
        <v>1302</v>
      </c>
      <c r="B14" s="195" t="s">
        <v>75</v>
      </c>
      <c r="C14" s="195" t="s">
        <v>1358</v>
      </c>
      <c r="D14" s="207" t="s">
        <v>1128</v>
      </c>
      <c r="E14" s="196" t="s">
        <v>150</v>
      </c>
      <c r="F14" s="207" t="s">
        <v>750</v>
      </c>
      <c r="G14" s="196" t="s">
        <v>151</v>
      </c>
      <c r="H14" s="195" t="s">
        <v>1358</v>
      </c>
      <c r="I14" s="206" t="s">
        <v>1327</v>
      </c>
      <c r="J14" s="212">
        <v>20</v>
      </c>
      <c r="K14" s="206" t="s">
        <v>882</v>
      </c>
      <c r="L14" s="206" t="s">
        <v>882</v>
      </c>
      <c r="M14" s="126" t="s">
        <v>1358</v>
      </c>
      <c r="N14" s="13" t="str">
        <f>"COMMENT ON COLUMN PG_GOLD."&amp;G14&amp;"."&amp;H14&amp;" IS '"&amp;K14&amp;"';"</f>
        <v>COMMENT ON COLUMN PG_GOLD.INTF_LOAN_DSBR.OU_CODE IS 'Mã chi nhánh quản lý hiện tại';</v>
      </c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</row>
    <row r="15" spans="1:27">
      <c r="A15" s="208" t="s">
        <v>1302</v>
      </c>
      <c r="B15" s="195" t="s">
        <v>70</v>
      </c>
      <c r="C15" s="213"/>
      <c r="D15" s="196" t="s">
        <v>1708</v>
      </c>
      <c r="E15" s="196" t="s">
        <v>150</v>
      </c>
      <c r="F15" s="127" t="s">
        <v>919</v>
      </c>
      <c r="G15" s="196" t="s">
        <v>151</v>
      </c>
      <c r="H15" s="31" t="s">
        <v>1533</v>
      </c>
      <c r="I15" s="206" t="s">
        <v>519</v>
      </c>
      <c r="J15" s="214"/>
      <c r="K15" s="196" t="s">
        <v>1709</v>
      </c>
      <c r="L15" s="215" t="s">
        <v>1710</v>
      </c>
      <c r="M15" s="126" t="s">
        <v>1533</v>
      </c>
      <c r="N15" s="13" t="str">
        <f>"COMMENT ON COLUMN PG_GOLD."&amp;G15&amp;"."&amp;H15&amp;" IS '"&amp;K15&amp;"';"</f>
        <v>COMMENT ON COLUMN PG_GOLD.INTF_LOAN_DSBR.VAL_DT IS 'Ngày giải ngân';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</row>
    <row r="16" spans="1:27">
      <c r="A16" s="208" t="s">
        <v>1302</v>
      </c>
      <c r="B16" s="195" t="s">
        <v>70</v>
      </c>
      <c r="C16" s="213" t="s">
        <v>1515</v>
      </c>
      <c r="D16" s="207" t="s">
        <v>1128</v>
      </c>
      <c r="E16" s="196" t="s">
        <v>150</v>
      </c>
      <c r="F16" s="207" t="s">
        <v>791</v>
      </c>
      <c r="G16" s="196" t="s">
        <v>151</v>
      </c>
      <c r="H16" s="213" t="s">
        <v>1515</v>
      </c>
      <c r="I16" s="206" t="s">
        <v>519</v>
      </c>
      <c r="J16" s="206"/>
      <c r="K16" s="206" t="s">
        <v>765</v>
      </c>
      <c r="L16" s="206" t="s">
        <v>765</v>
      </c>
      <c r="M16" s="126" t="s">
        <v>1515</v>
      </c>
      <c r="N16" s="13" t="str">
        <f>"COMMENT ON COLUMN PG_GOLD."&amp;G16&amp;"."&amp;H16&amp;" IS '"&amp;K16&amp;"';"</f>
        <v>COMMENT ON COLUMN PG_GOLD.INTF_LOAN_DSBR.EFF_DT IS 'Ngày hiệu lực hợp đồng';</v>
      </c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</row>
    <row r="17" spans="1:27">
      <c r="A17" s="208" t="s">
        <v>1302</v>
      </c>
      <c r="B17" s="195" t="s">
        <v>70</v>
      </c>
      <c r="C17" s="213" t="s">
        <v>1482</v>
      </c>
      <c r="D17" s="207" t="s">
        <v>1128</v>
      </c>
      <c r="E17" s="196" t="s">
        <v>150</v>
      </c>
      <c r="F17" s="207" t="s">
        <v>897</v>
      </c>
      <c r="G17" s="196" t="s">
        <v>151</v>
      </c>
      <c r="H17" s="213" t="s">
        <v>1482</v>
      </c>
      <c r="I17" s="206" t="s">
        <v>519</v>
      </c>
      <c r="J17" s="206"/>
      <c r="K17" s="206" t="s">
        <v>765</v>
      </c>
      <c r="L17" s="191" t="s">
        <v>1711</v>
      </c>
      <c r="M17" s="126" t="s">
        <v>1482</v>
      </c>
      <c r="N17" s="13" t="str">
        <f>"COMMENT ON COLUMN PG_GOLD."&amp;G17&amp;"."&amp;H17&amp;" IS '"&amp;K17&amp;"';"</f>
        <v>COMMENT ON COLUMN PG_GOLD.INTF_LOAN_DSBR.MAT_DT IS 'Ngày hiệu lực hợp đồng';</v>
      </c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</row>
    <row r="18" spans="1:27">
      <c r="A18" s="208" t="s">
        <v>1302</v>
      </c>
      <c r="B18" s="195" t="s">
        <v>70</v>
      </c>
      <c r="C18" s="195" t="s">
        <v>281</v>
      </c>
      <c r="D18" s="207" t="s">
        <v>1128</v>
      </c>
      <c r="E18" s="196" t="s">
        <v>150</v>
      </c>
      <c r="F18" s="207" t="s">
        <v>752</v>
      </c>
      <c r="G18" s="196" t="s">
        <v>151</v>
      </c>
      <c r="H18" s="195" t="s">
        <v>281</v>
      </c>
      <c r="I18" s="206" t="s">
        <v>1327</v>
      </c>
      <c r="J18" s="212">
        <v>20</v>
      </c>
      <c r="K18" s="206" t="s">
        <v>282</v>
      </c>
      <c r="L18" s="191" t="s">
        <v>282</v>
      </c>
      <c r="M18" s="126" t="s">
        <v>281</v>
      </c>
      <c r="N18" s="13" t="str">
        <f>"COMMENT ON COLUMN PG_GOLD."&amp;G18&amp;"."&amp;H18&amp;" IS '"&amp;K18&amp;"';"</f>
        <v>COMMENT ON COLUMN PG_GOLD.INTF_LOAN_DSBR.CCY_CODE IS 'Loại tiền';</v>
      </c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</row>
    <row r="19" spans="1:27">
      <c r="A19" s="208" t="s">
        <v>1302</v>
      </c>
      <c r="B19" s="195" t="s">
        <v>70</v>
      </c>
      <c r="C19" s="195" t="s">
        <v>1594</v>
      </c>
      <c r="D19" s="207" t="s">
        <v>1128</v>
      </c>
      <c r="E19" s="196" t="s">
        <v>150</v>
      </c>
      <c r="F19" s="207" t="s">
        <v>683</v>
      </c>
      <c r="G19" s="196" t="s">
        <v>151</v>
      </c>
      <c r="H19" s="195" t="s">
        <v>1594</v>
      </c>
      <c r="I19" s="206" t="s">
        <v>1327</v>
      </c>
      <c r="J19" s="212">
        <v>40</v>
      </c>
      <c r="K19" s="206" t="s">
        <v>387</v>
      </c>
      <c r="L19" s="206" t="s">
        <v>387</v>
      </c>
      <c r="M19" s="126" t="s">
        <v>1594</v>
      </c>
      <c r="N19" s="13" t="str">
        <f>"COMMENT ON COLUMN PG_GOLD."&amp;G19&amp;"."&amp;H19&amp;" IS '"&amp;K19&amp;"';"</f>
        <v>COMMENT ON COLUMN PG_GOLD.INTF_LOAN_DSBR.AR_PPS_TP_CODE IS 'Mã mục đích vay';</v>
      </c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</row>
    <row r="20" spans="1:27">
      <c r="A20" s="208" t="s">
        <v>1302</v>
      </c>
      <c r="B20" s="195" t="s">
        <v>70</v>
      </c>
      <c r="C20" s="195" t="s">
        <v>1518</v>
      </c>
      <c r="D20" s="207" t="s">
        <v>1128</v>
      </c>
      <c r="E20" s="196" t="s">
        <v>150</v>
      </c>
      <c r="F20" s="207" t="s">
        <v>887</v>
      </c>
      <c r="G20" s="196" t="s">
        <v>151</v>
      </c>
      <c r="H20" s="195" t="s">
        <v>1518</v>
      </c>
      <c r="I20" s="206" t="s">
        <v>1327</v>
      </c>
      <c r="J20" s="212">
        <v>40</v>
      </c>
      <c r="K20" s="206" t="s">
        <v>935</v>
      </c>
      <c r="L20" s="191" t="s">
        <v>1520</v>
      </c>
      <c r="M20" s="126" t="s">
        <v>1518</v>
      </c>
      <c r="N20" s="13" t="str">
        <f>"COMMENT ON COLUMN PG_GOLD."&amp;G20&amp;"."&amp;H20&amp;" IS '"&amp;K20&amp;"';"</f>
        <v>COMMENT ON COLUMN PG_GOLD.INTF_LOAN_DSBR.PPR_CTR_NBR IS 'Mã hồ sơ';</v>
      </c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</row>
    <row r="21" spans="1:27">
      <c r="A21" s="208" t="s">
        <v>1302</v>
      </c>
      <c r="B21" s="195" t="s">
        <v>70</v>
      </c>
      <c r="C21" s="195" t="s">
        <v>1517</v>
      </c>
      <c r="D21" s="207" t="s">
        <v>1128</v>
      </c>
      <c r="E21" s="196" t="s">
        <v>150</v>
      </c>
      <c r="F21" s="191" t="s">
        <v>748</v>
      </c>
      <c r="G21" s="196" t="s">
        <v>151</v>
      </c>
      <c r="H21" s="195" t="s">
        <v>1517</v>
      </c>
      <c r="I21" s="206" t="s">
        <v>1327</v>
      </c>
      <c r="J21" s="212">
        <v>20</v>
      </c>
      <c r="K21" s="206" t="s">
        <v>747</v>
      </c>
      <c r="L21" s="191" t="s">
        <v>961</v>
      </c>
      <c r="M21" s="126" t="s">
        <v>1517</v>
      </c>
      <c r="N21" s="13" t="str">
        <f>"COMMENT ON COLUMN PG_GOLD."&amp;G21&amp;"."&amp;H21&amp;" IS '"&amp;K21&amp;"';"</f>
        <v>COMMENT ON COLUMN PG_GOLD.INTF_LOAN_DSBR.PD_CGY_CODE IS 'Mã phân loại sản phẩm';</v>
      </c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</row>
    <row r="22" spans="1:27">
      <c r="A22" s="208" t="s">
        <v>1302</v>
      </c>
      <c r="B22" s="195" t="s">
        <v>70</v>
      </c>
      <c r="C22" s="195" t="s">
        <v>1712</v>
      </c>
      <c r="D22" s="207" t="s">
        <v>1128</v>
      </c>
      <c r="E22" s="196" t="s">
        <v>150</v>
      </c>
      <c r="F22" s="207" t="s">
        <v>880</v>
      </c>
      <c r="G22" s="196" t="s">
        <v>151</v>
      </c>
      <c r="H22" s="195" t="s">
        <v>1712</v>
      </c>
      <c r="I22" s="206" t="s">
        <v>1106</v>
      </c>
      <c r="J22" s="212">
        <v>25.5</v>
      </c>
      <c r="K22" s="207" t="s">
        <v>879</v>
      </c>
      <c r="L22" s="207" t="s">
        <v>879</v>
      </c>
      <c r="M22" s="126" t="s">
        <v>1712</v>
      </c>
      <c r="N22" s="13" t="str">
        <f>"COMMENT ON COLUMN PG_GOLD."&amp;G22&amp;"."&amp;H22&amp;" IS '"&amp;K22&amp;"';"</f>
        <v>COMMENT ON COLUMN PG_GOLD.INTF_LOAN_DSBR.ORIG_AMT_FCY IS 'Giá trị phê duyệt';</v>
      </c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</row>
    <row r="23" spans="1:27">
      <c r="A23" s="208" t="s">
        <v>1302</v>
      </c>
      <c r="B23" s="195" t="s">
        <v>70</v>
      </c>
      <c r="C23" s="213"/>
      <c r="D23" s="196" t="s">
        <v>1713</v>
      </c>
      <c r="E23" s="196" t="s">
        <v>150</v>
      </c>
      <c r="F23" s="258" t="s">
        <v>894</v>
      </c>
      <c r="G23" s="196" t="s">
        <v>151</v>
      </c>
      <c r="H23" s="31" t="s">
        <v>1714</v>
      </c>
      <c r="I23" s="206" t="s">
        <v>1106</v>
      </c>
      <c r="J23" s="212">
        <v>25.5</v>
      </c>
      <c r="K23" s="206" t="s">
        <v>1715</v>
      </c>
      <c r="L23" s="191" t="s">
        <v>1715</v>
      </c>
      <c r="M23" s="126" t="s">
        <v>1714</v>
      </c>
      <c r="N23" s="13" t="str">
        <f>"COMMENT ON COLUMN PG_GOLD."&amp;G23&amp;"."&amp;H23&amp;" IS '"&amp;K23&amp;"';"</f>
        <v>COMMENT ON COLUMN PG_GOLD.INTF_LOAN_DSBR.EXG_RATE_TO_LCL_CCY IS 'Tỷ giá';</v>
      </c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</row>
    <row r="24" spans="1:27">
      <c r="A24" s="208" t="s">
        <v>1302</v>
      </c>
      <c r="B24" s="195" t="s">
        <v>70</v>
      </c>
      <c r="C24" s="213"/>
      <c r="D24" s="196" t="s">
        <v>1716</v>
      </c>
      <c r="E24" s="196" t="s">
        <v>150</v>
      </c>
      <c r="F24" s="207" t="s">
        <v>1031</v>
      </c>
      <c r="G24" s="196" t="s">
        <v>151</v>
      </c>
      <c r="H24" s="31" t="s">
        <v>1717</v>
      </c>
      <c r="I24" s="206" t="s">
        <v>1106</v>
      </c>
      <c r="J24" s="212">
        <v>25.5</v>
      </c>
      <c r="K24" s="207" t="s">
        <v>1718</v>
      </c>
      <c r="L24" s="207" t="s">
        <v>1718</v>
      </c>
      <c r="M24" s="126" t="s">
        <v>1717</v>
      </c>
      <c r="N24" s="13" t="str">
        <f>"COMMENT ON COLUMN PG_GOLD."&amp;G24&amp;"."&amp;H24&amp;" IS '"&amp;K24&amp;"';"</f>
        <v>COMMENT ON COLUMN PG_GOLD.INTF_LOAN_DSBR.ORIG_AMT_LCY IS 'Giá trị phê duyệt quy đổi';</v>
      </c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</row>
    <row r="25" spans="1:27">
      <c r="A25" s="208" t="s">
        <v>1302</v>
      </c>
      <c r="B25" s="208" t="s">
        <v>118</v>
      </c>
      <c r="C25" s="213" t="s">
        <v>1719</v>
      </c>
      <c r="D25" s="196"/>
      <c r="E25" s="196" t="s">
        <v>150</v>
      </c>
      <c r="F25" s="206" t="s">
        <v>1720</v>
      </c>
      <c r="G25" s="196" t="s">
        <v>151</v>
      </c>
      <c r="H25" s="213" t="s">
        <v>1719</v>
      </c>
      <c r="I25" s="206" t="s">
        <v>1327</v>
      </c>
      <c r="J25" s="212">
        <v>40</v>
      </c>
      <c r="K25" s="216" t="s">
        <v>876</v>
      </c>
      <c r="L25" s="191" t="s">
        <v>1721</v>
      </c>
      <c r="M25" s="126" t="s">
        <v>1719</v>
      </c>
      <c r="N25" s="13" t="str">
        <f>"COMMENT ON COLUMN PG_GOLD."&amp;G25&amp;"."&amp;H25&amp;" IS '"&amp;K25&amp;"';"</f>
        <v>COMMENT ON COLUMN PG_GOLD.INTF_LOAN_DSBR.EMPE_NM IS 'Tên nhân viên hạch toán';</v>
      </c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</row>
    <row r="26" spans="1:27">
      <c r="A26" s="208" t="s">
        <v>1302</v>
      </c>
      <c r="B26" s="206" t="s">
        <v>208</v>
      </c>
      <c r="C26" s="206" t="s">
        <v>1722</v>
      </c>
      <c r="D26" s="207" t="s">
        <v>1128</v>
      </c>
      <c r="E26" s="196" t="s">
        <v>150</v>
      </c>
      <c r="F26" s="207" t="s">
        <v>907</v>
      </c>
      <c r="G26" s="196" t="s">
        <v>151</v>
      </c>
      <c r="H26" s="206" t="s">
        <v>1722</v>
      </c>
      <c r="I26" s="206" t="s">
        <v>1106</v>
      </c>
      <c r="J26" s="212">
        <v>10.5</v>
      </c>
      <c r="K26" s="206" t="s">
        <v>906</v>
      </c>
      <c r="L26" s="191" t="s">
        <v>1723</v>
      </c>
      <c r="M26" s="126" t="s">
        <v>1722</v>
      </c>
      <c r="N26" s="13" t="str">
        <f>"COMMENT ON COLUMN PG_GOLD."&amp;G26&amp;"."&amp;H26&amp;" IS '"&amp;K26&amp;"';"</f>
        <v>COMMENT ON COLUMN PG_GOLD.INTF_LOAN_DSBR.EFF_RATE_PCT IS 'Giá trị lãi suất';</v>
      </c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</row>
    <row r="27" spans="1:27">
      <c r="A27" s="208" t="s">
        <v>1302</v>
      </c>
      <c r="B27" s="195" t="s">
        <v>75</v>
      </c>
      <c r="C27" s="196" t="s">
        <v>1724</v>
      </c>
      <c r="D27" s="207" t="s">
        <v>1128</v>
      </c>
      <c r="E27" s="196" t="s">
        <v>150</v>
      </c>
      <c r="F27" s="207" t="s">
        <v>681</v>
      </c>
      <c r="G27" s="196" t="s">
        <v>151</v>
      </c>
      <c r="H27" s="196" t="s">
        <v>1724</v>
      </c>
      <c r="I27" s="206" t="s">
        <v>1327</v>
      </c>
      <c r="J27" s="212">
        <v>20</v>
      </c>
      <c r="K27" s="206" t="s">
        <v>680</v>
      </c>
      <c r="L27" s="206" t="s">
        <v>680</v>
      </c>
      <c r="M27" s="126" t="s">
        <v>1724</v>
      </c>
      <c r="N27" s="13" t="str">
        <f>"COMMENT ON COLUMN PG_GOLD."&amp;G27&amp;"."&amp;H27&amp;" IS '"&amp;K27&amp;"';"</f>
        <v>COMMENT ON COLUMN PG_GOLD.INTF_LOAN_DSBR.AR_PPS_BY_IDY IS 'Mục đích vay theo ngành kinh tế';</v>
      </c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</row>
    <row r="28" spans="1:27">
      <c r="A28" s="208" t="s">
        <v>1302</v>
      </c>
      <c r="B28" s="195" t="s">
        <v>75</v>
      </c>
      <c r="C28" s="206" t="s">
        <v>1647</v>
      </c>
      <c r="D28" s="207" t="s">
        <v>1128</v>
      </c>
      <c r="E28" s="196" t="s">
        <v>150</v>
      </c>
      <c r="F28" s="207" t="s">
        <v>676</v>
      </c>
      <c r="G28" s="196" t="s">
        <v>151</v>
      </c>
      <c r="H28" s="206" t="s">
        <v>1647</v>
      </c>
      <c r="I28" s="206" t="s">
        <v>1327</v>
      </c>
      <c r="J28" s="212">
        <v>40</v>
      </c>
      <c r="K28" s="206" t="s">
        <v>675</v>
      </c>
      <c r="L28" s="191" t="s">
        <v>1648</v>
      </c>
      <c r="M28" s="126" t="s">
        <v>1647</v>
      </c>
      <c r="N28" s="13" t="str">
        <f>"COMMENT ON COLUMN PG_GOLD."&amp;G28&amp;"."&amp;H28&amp;" IS '"&amp;K28&amp;"';"</f>
        <v>COMMENT ON COLUMN PG_GOLD.INTF_LOAN_DSBR.LOS_CTR_CODE IS 'mã hợp đồng vay';</v>
      </c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</row>
    <row r="29" spans="1:27">
      <c r="A29" s="208" t="s">
        <v>1302</v>
      </c>
      <c r="B29" s="195" t="s">
        <v>75</v>
      </c>
      <c r="C29" s="196" t="s">
        <v>1656</v>
      </c>
      <c r="D29" s="207" t="s">
        <v>1128</v>
      </c>
      <c r="E29" s="196" t="s">
        <v>150</v>
      </c>
      <c r="F29" s="207" t="s">
        <v>1657</v>
      </c>
      <c r="G29" s="196" t="s">
        <v>151</v>
      </c>
      <c r="H29" s="196" t="s">
        <v>1656</v>
      </c>
      <c r="I29" s="206" t="s">
        <v>1327</v>
      </c>
      <c r="J29" s="212">
        <v>40</v>
      </c>
      <c r="K29" s="206" t="s">
        <v>1658</v>
      </c>
      <c r="L29" s="206" t="s">
        <v>1658</v>
      </c>
      <c r="M29" s="126" t="s">
        <v>1656</v>
      </c>
      <c r="N29" s="13" t="str">
        <f>"COMMENT ON COLUMN PG_GOLD."&amp;G29&amp;"."&amp;H29&amp;" IS '"&amp;K29&amp;"';"</f>
        <v>COMMENT ON COLUMN PG_GOLD.INTF_LOAN_DSBR.CAR_AP_CODE IS 'Mã hồ sơ đăng ký vay vốn mua xe';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</row>
    <row r="30" spans="1:27">
      <c r="A30" s="208" t="s">
        <v>1302</v>
      </c>
      <c r="B30" s="195" t="s">
        <v>75</v>
      </c>
      <c r="C30" s="195" t="s">
        <v>1576</v>
      </c>
      <c r="D30" s="207" t="s">
        <v>1128</v>
      </c>
      <c r="E30" s="196" t="s">
        <v>150</v>
      </c>
      <c r="F30" s="206" t="s">
        <v>671</v>
      </c>
      <c r="G30" s="196" t="s">
        <v>151</v>
      </c>
      <c r="H30" s="195" t="s">
        <v>1576</v>
      </c>
      <c r="I30" s="206" t="s">
        <v>1327</v>
      </c>
      <c r="J30" s="212">
        <v>20</v>
      </c>
      <c r="K30" s="206" t="s">
        <v>669</v>
      </c>
      <c r="L30" s="191" t="s">
        <v>1577</v>
      </c>
      <c r="M30" s="126" t="s">
        <v>1576</v>
      </c>
      <c r="N30" s="13" t="str">
        <f>"COMMENT ON COLUMN PG_GOLD."&amp;G30&amp;"."&amp;H30&amp;" IS '"&amp;K30&amp;"';"</f>
        <v>COMMENT ON COLUMN PG_GOLD.INTF_LOAN_DSBR.DSBR_PRPSL_OFCR IS 'Cán bộ đề xuất giải ngân';</v>
      </c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</row>
    <row r="31" spans="1:27">
      <c r="A31" s="208" t="s">
        <v>1302</v>
      </c>
      <c r="B31" s="195" t="s">
        <v>75</v>
      </c>
      <c r="C31" s="195" t="s">
        <v>1578</v>
      </c>
      <c r="D31" s="207" t="s">
        <v>1128</v>
      </c>
      <c r="E31" s="196" t="s">
        <v>150</v>
      </c>
      <c r="F31" s="206" t="s">
        <v>686</v>
      </c>
      <c r="G31" s="196" t="s">
        <v>151</v>
      </c>
      <c r="H31" s="195" t="s">
        <v>1578</v>
      </c>
      <c r="I31" s="206" t="s">
        <v>1327</v>
      </c>
      <c r="J31" s="212">
        <v>20</v>
      </c>
      <c r="K31" s="206" t="s">
        <v>685</v>
      </c>
      <c r="L31" s="191" t="s">
        <v>1579</v>
      </c>
      <c r="M31" s="126" t="s">
        <v>1578</v>
      </c>
      <c r="N31" s="13" t="str">
        <f>"COMMENT ON COLUMN PG_GOLD."&amp;G31&amp;"."&amp;H31&amp;" IS '"&amp;K31&amp;"';"</f>
        <v>COMMENT ON COLUMN PG_GOLD.INTF_LOAN_DSBR.DSBR_PRPSL_MGR IS 'Người đề xuất giải ngân';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</row>
    <row r="32" spans="1:27">
      <c r="A32" s="208" t="s">
        <v>1302</v>
      </c>
      <c r="B32" s="195" t="s">
        <v>70</v>
      </c>
      <c r="C32" s="195" t="s">
        <v>284</v>
      </c>
      <c r="D32" s="207" t="s">
        <v>1128</v>
      </c>
      <c r="E32" s="196" t="s">
        <v>150</v>
      </c>
      <c r="F32" s="191" t="s">
        <v>691</v>
      </c>
      <c r="G32" s="196" t="s">
        <v>151</v>
      </c>
      <c r="H32" s="217" t="s">
        <v>1725</v>
      </c>
      <c r="I32" s="206" t="s">
        <v>1327</v>
      </c>
      <c r="J32" s="212">
        <v>20</v>
      </c>
      <c r="K32" s="206" t="s">
        <v>924</v>
      </c>
      <c r="L32" s="191" t="s">
        <v>1575</v>
      </c>
      <c r="M32" s="126" t="s">
        <v>284</v>
      </c>
      <c r="N32" s="13" t="str">
        <f>"COMMENT ON COLUMN PG_GOLD."&amp;G32&amp;"."&amp;H32&amp;" IS '"&amp;K32&amp;"';"</f>
        <v>COMMENT ON COLUMN PG_GOLD.INTF_LOAN_DSBR.PRODUCT_CODE
PD_CODE IS 'Mã nhóm sản phẩm';</v>
      </c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</row>
    <row r="33" spans="1:27">
      <c r="A33" s="208" t="s">
        <v>1302</v>
      </c>
      <c r="B33" s="208" t="s">
        <v>99</v>
      </c>
      <c r="C33" s="196" t="s">
        <v>1726</v>
      </c>
      <c r="D33" s="196"/>
      <c r="E33" s="196" t="s">
        <v>150</v>
      </c>
      <c r="F33" s="191" t="s">
        <v>733</v>
      </c>
      <c r="G33" s="196" t="s">
        <v>151</v>
      </c>
      <c r="H33" s="205" t="s">
        <v>1727</v>
      </c>
      <c r="I33" s="206" t="s">
        <v>1327</v>
      </c>
      <c r="J33" s="214">
        <v>255</v>
      </c>
      <c r="K33" s="196" t="s">
        <v>1728</v>
      </c>
      <c r="L33" s="191" t="s">
        <v>1729</v>
      </c>
      <c r="M33" s="126" t="s">
        <v>1726</v>
      </c>
      <c r="N33" s="13" t="str">
        <f>"COMMENT ON COLUMN PG_GOLD."&amp;G33&amp;"."&amp;H33&amp;" IS '"&amp;K33&amp;"';"</f>
        <v>COMMENT ON COLUMN PG_GOLD.INTF_LOAN_DSBR.PRODUCT_NAME
PD_NM IS 'Tên sản phẩm ';</v>
      </c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</row>
    <row r="34" spans="1:27">
      <c r="A34" s="208" t="s">
        <v>1302</v>
      </c>
      <c r="B34" s="195" t="s">
        <v>70</v>
      </c>
      <c r="C34" s="195" t="s">
        <v>267</v>
      </c>
      <c r="D34" s="207" t="s">
        <v>1128</v>
      </c>
      <c r="E34" s="196" t="s">
        <v>150</v>
      </c>
      <c r="F34" s="207" t="s">
        <v>913</v>
      </c>
      <c r="G34" s="196" t="s">
        <v>151</v>
      </c>
      <c r="H34" s="213" t="s">
        <v>520</v>
      </c>
      <c r="I34" s="206" t="s">
        <v>1327</v>
      </c>
      <c r="J34" s="212">
        <v>20</v>
      </c>
      <c r="K34" s="206" t="s">
        <v>912</v>
      </c>
      <c r="L34" s="191" t="s">
        <v>1730</v>
      </c>
      <c r="M34" s="126" t="s">
        <v>267</v>
      </c>
      <c r="N34" s="13" t="str">
        <f>"COMMENT ON COLUMN PG_GOLD."&amp;G34&amp;"."&amp;H34&amp;" IS '"&amp;K34&amp;"';"</f>
        <v>COMMENT ON COLUMN PG_GOLD.INTF_LOAN_DSBR.LOC_TERM IS 'Kỳ hạn ';</v>
      </c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</row>
    <row r="35" spans="1:27">
      <c r="A35" s="191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</row>
    <row r="36" spans="1:27">
      <c r="A36" s="191"/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</row>
    <row r="37" spans="1:27">
      <c r="A37" s="191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</row>
    <row r="38" spans="1:27">
      <c r="A38" s="191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</row>
    <row r="39" spans="1:27">
      <c r="A39" s="191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</row>
    <row r="40" spans="1:27">
      <c r="A40" s="191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</row>
    <row r="41" spans="1:27">
      <c r="A41" s="191"/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</row>
    <row r="42" spans="1:27">
      <c r="A42" s="191"/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</row>
    <row r="43" spans="1:27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</row>
    <row r="44" spans="1:27">
      <c r="A44" s="191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</row>
    <row r="45" spans="1:27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</row>
    <row r="46" spans="1:27">
      <c r="A46" s="191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</row>
    <row r="47" spans="1:27">
      <c r="A47" s="191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</row>
    <row r="48" spans="1:27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</row>
    <row r="49" spans="1:27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</row>
    <row r="50" spans="1:27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</row>
    <row r="51" spans="1:27">
      <c r="A51" s="191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</row>
    <row r="52" spans="1:27">
      <c r="A52" s="191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</row>
    <row r="53" spans="1:27">
      <c r="A53" s="191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</row>
    <row r="54" spans="1:27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</row>
    <row r="55" spans="1:27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</row>
    <row r="56" spans="1:27">
      <c r="A56" s="191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</row>
    <row r="57" spans="1:27">
      <c r="A57" s="191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</row>
    <row r="58" spans="1:27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</row>
    <row r="59" spans="1:27">
      <c r="A59" s="191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</row>
    <row r="60" spans="1:27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</row>
    <row r="61" spans="1:27">
      <c r="A61" s="191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</row>
    <row r="62" spans="1:27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</row>
    <row r="63" spans="1:27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</row>
    <row r="64" spans="1:27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</row>
    <row r="65" spans="1:27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</row>
    <row r="66" spans="1:27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</row>
    <row r="67" spans="1:27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</row>
    <row r="68" spans="1:27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</row>
    <row r="69" spans="1:27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</row>
    <row r="70" spans="1:27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</row>
    <row r="71" spans="1:27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</row>
    <row r="72" spans="1:27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</row>
    <row r="73" spans="1:27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</row>
    <row r="74" spans="1:27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</row>
    <row r="75" spans="1:27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</row>
    <row r="76" spans="1:27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</row>
    <row r="77" spans="1:27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</row>
    <row r="78" spans="1:27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</row>
    <row r="79" spans="1:27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</row>
    <row r="80" spans="1:27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</row>
    <row r="81" spans="1:27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</row>
    <row r="82" spans="1:27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</row>
    <row r="83" spans="1:27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</row>
    <row r="84" spans="1:27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</row>
    <row r="85" spans="1:27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</row>
    <row r="86" spans="1:27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</row>
    <row r="87" spans="1:27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</row>
    <row r="88" spans="1:27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</row>
    <row r="89" spans="1:27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</row>
    <row r="90" spans="1:27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</row>
    <row r="91" spans="1:27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</row>
    <row r="92" spans="1:27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</row>
    <row r="93" spans="1:27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</row>
    <row r="94" spans="1:27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</row>
    <row r="95" spans="1:27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</row>
    <row r="96" spans="1:27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</row>
    <row r="97" spans="1:27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</row>
    <row r="98" spans="1:27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</row>
    <row r="99" spans="1:27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</row>
    <row r="100" spans="1:27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</row>
    <row r="101" spans="1:27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</row>
    <row r="102" spans="1:27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</row>
    <row r="103" spans="1:27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</row>
    <row r="104" spans="1:27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</row>
    <row r="105" spans="1:27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</row>
    <row r="106" spans="1:27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</row>
    <row r="107" spans="1:27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</row>
    <row r="108" spans="1:27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</row>
    <row r="109" spans="1:27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</row>
    <row r="110" spans="1:27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</row>
    <row r="111" spans="1:27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</row>
    <row r="112" spans="1:27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</row>
    <row r="113" spans="1:27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</row>
    <row r="114" spans="1:27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</row>
    <row r="115" spans="1:27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</row>
    <row r="116" spans="1:27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</row>
    <row r="117" spans="1:27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</row>
    <row r="118" spans="1:27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</row>
    <row r="119" spans="1:27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</row>
    <row r="120" spans="1:27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</row>
    <row r="121" spans="1:27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</row>
    <row r="122" spans="1:27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</row>
    <row r="123" spans="1:27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</row>
    <row r="124" spans="1:27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</row>
    <row r="125" spans="1:27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</row>
    <row r="126" spans="1:27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</row>
    <row r="127" spans="1:27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</row>
    <row r="128" spans="1:27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</row>
    <row r="129" spans="1:27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</row>
    <row r="130" spans="1:27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</row>
    <row r="131" spans="1:27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</row>
    <row r="132" spans="1:27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</row>
    <row r="133" spans="1:27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</row>
    <row r="134" spans="1:27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</row>
    <row r="135" spans="1:27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</row>
    <row r="136" spans="1:27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</row>
    <row r="137" spans="1:27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</row>
    <row r="138" spans="1:27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</row>
    <row r="139" spans="1:27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</row>
    <row r="140" spans="1:27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</row>
    <row r="141" spans="1:27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</row>
    <row r="142" spans="1:27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</row>
    <row r="143" spans="1:27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</row>
    <row r="144" spans="1:27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</row>
    <row r="145" spans="1:27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</row>
    <row r="146" spans="1:27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</row>
    <row r="147" spans="1:27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</row>
    <row r="148" spans="1:27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</row>
    <row r="149" spans="1:27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</row>
    <row r="150" spans="1:27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</row>
    <row r="151" spans="1:27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</row>
    <row r="152" spans="1:27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</row>
    <row r="153" spans="1:27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</row>
    <row r="154" spans="1:27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</row>
    <row r="155" spans="1:27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</row>
    <row r="156" spans="1:27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</row>
    <row r="157" spans="1:27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</row>
    <row r="158" spans="1:27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</row>
    <row r="159" spans="1:27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</row>
    <row r="160" spans="1:27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</row>
    <row r="161" spans="1:27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</row>
    <row r="162" spans="1:27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</row>
    <row r="163" spans="1:27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</row>
    <row r="164" spans="1:27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</row>
    <row r="165" spans="1:27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</row>
    <row r="166" spans="1:27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</row>
    <row r="167" spans="1:27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</row>
    <row r="168" spans="1:27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</row>
    <row r="169" spans="1:27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</row>
    <row r="170" spans="1:27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</row>
    <row r="171" spans="1:27">
      <c r="A171" s="19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</row>
    <row r="172" spans="1:27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</row>
    <row r="173" spans="1:27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</row>
    <row r="174" spans="1:27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</row>
    <row r="175" spans="1:27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</row>
    <row r="176" spans="1:27">
      <c r="A176" s="19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</row>
    <row r="177" spans="1:27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</row>
    <row r="178" spans="1:27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</row>
    <row r="179" spans="1:27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</row>
    <row r="180" spans="1:27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</row>
    <row r="181" spans="1:27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</row>
    <row r="182" spans="1:27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</row>
    <row r="183" spans="1:27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</row>
    <row r="184" spans="1:27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</row>
    <row r="185" spans="1:27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</row>
    <row r="186" spans="1:27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</row>
    <row r="187" spans="1:27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</row>
    <row r="188" spans="1:27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</row>
    <row r="189" spans="1:27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</row>
    <row r="190" spans="1:27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</row>
    <row r="191" spans="1:27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</row>
    <row r="192" spans="1:27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</row>
    <row r="193" spans="1:27">
      <c r="A193" s="19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</row>
    <row r="194" spans="1:27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</row>
    <row r="195" spans="1:27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</row>
    <row r="196" spans="1:27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</row>
    <row r="197" spans="1:27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</row>
    <row r="198" spans="1:27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</row>
    <row r="199" spans="1:27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  <c r="AA199" s="191"/>
    </row>
    <row r="200" spans="1:27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</row>
    <row r="201" spans="1:27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  <c r="AA201" s="191"/>
    </row>
    <row r="202" spans="1:27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</row>
    <row r="203" spans="1:27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</row>
    <row r="204" spans="1:27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</row>
    <row r="205" spans="1:27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  <c r="AA205" s="191"/>
    </row>
    <row r="206" spans="1:27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  <c r="AA206" s="191"/>
    </row>
    <row r="207" spans="1:27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  <c r="AA207" s="191"/>
    </row>
    <row r="208" spans="1:27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</row>
    <row r="209" spans="1:27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  <c r="AA209" s="191"/>
    </row>
    <row r="210" spans="1:27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</row>
    <row r="211" spans="1:27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  <c r="AA211" s="191"/>
    </row>
    <row r="212" spans="1:27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</row>
    <row r="213" spans="1:27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  <c r="AA213" s="191"/>
    </row>
    <row r="214" spans="1:27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  <c r="AA214" s="191"/>
    </row>
    <row r="215" spans="1:27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  <c r="AA215" s="191"/>
    </row>
    <row r="216" spans="1:27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  <c r="AA216" s="191"/>
    </row>
    <row r="217" spans="1:27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  <c r="AA217" s="191"/>
    </row>
    <row r="218" spans="1:27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</row>
    <row r="219" spans="1:27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  <c r="AA219" s="191"/>
    </row>
    <row r="220" spans="1:27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</row>
    <row r="221" spans="1:27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  <c r="AA221" s="191"/>
    </row>
    <row r="222" spans="1:27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  <c r="AA222" s="191"/>
    </row>
    <row r="223" spans="1:27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  <c r="AA223" s="191"/>
    </row>
    <row r="224" spans="1:27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  <c r="AA224" s="191"/>
    </row>
    <row r="225" spans="1:27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  <c r="AA225" s="191"/>
    </row>
    <row r="226" spans="1:27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  <c r="AA226" s="191"/>
    </row>
    <row r="227" spans="1:27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</row>
    <row r="228" spans="1:27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  <c r="AA228" s="191"/>
    </row>
    <row r="229" spans="1:27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  <c r="AA229" s="191"/>
    </row>
    <row r="230" spans="1:27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  <c r="AA230" s="191"/>
    </row>
    <row r="231" spans="1:27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  <c r="AA231" s="191"/>
    </row>
    <row r="232" spans="1:27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  <c r="AA232" s="191"/>
    </row>
    <row r="233" spans="1:27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  <c r="AA233" s="191"/>
    </row>
    <row r="234" spans="1:27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  <c r="AA234" s="191"/>
    </row>
    <row r="235" spans="1:27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</row>
    <row r="236" spans="1:27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  <c r="AA236" s="191"/>
    </row>
    <row r="237" spans="1:27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  <c r="AA237" s="191"/>
    </row>
    <row r="238" spans="1:27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  <c r="AA238" s="191"/>
    </row>
    <row r="239" spans="1:27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  <c r="AA239" s="191"/>
    </row>
    <row r="240" spans="1:27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  <c r="AA240" s="191"/>
    </row>
    <row r="241" spans="1:27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  <c r="AA241" s="191"/>
    </row>
    <row r="242" spans="1:27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  <c r="AA242" s="191"/>
    </row>
    <row r="243" spans="1:27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</row>
    <row r="244" spans="1:27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  <c r="AA244" s="191"/>
    </row>
    <row r="245" spans="1:27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  <c r="AA245" s="191"/>
    </row>
    <row r="246" spans="1:27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  <c r="AA246" s="191"/>
    </row>
    <row r="247" spans="1:27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  <c r="AA247" s="191"/>
    </row>
    <row r="248" spans="1:27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  <c r="AA248" s="191"/>
    </row>
    <row r="249" spans="1:27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  <c r="AA249" s="191"/>
    </row>
    <row r="250" spans="1:27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  <c r="AA250" s="191"/>
    </row>
    <row r="251" spans="1:27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</row>
    <row r="252" spans="1:27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  <c r="AA252" s="191"/>
    </row>
    <row r="253" spans="1:27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</row>
    <row r="254" spans="1:27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  <c r="AA254" s="191"/>
    </row>
    <row r="255" spans="1:27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  <c r="AA255" s="191"/>
    </row>
    <row r="256" spans="1:27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  <c r="AA256" s="191"/>
    </row>
    <row r="257" spans="1:27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  <c r="AA257" s="191"/>
    </row>
    <row r="258" spans="1:27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  <c r="AA258" s="191"/>
    </row>
    <row r="259" spans="1:27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  <c r="AA259" s="191"/>
    </row>
    <row r="260" spans="1:27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  <c r="AA260" s="191"/>
    </row>
    <row r="261" spans="1:27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  <c r="AA261" s="191"/>
    </row>
    <row r="262" spans="1:27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  <c r="AA262" s="191"/>
    </row>
    <row r="263" spans="1:27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  <c r="AA263" s="191"/>
    </row>
    <row r="264" spans="1:27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  <c r="AA264" s="191"/>
    </row>
    <row r="265" spans="1:27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  <c r="AA265" s="191"/>
    </row>
    <row r="266" spans="1:27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  <c r="AA266" s="191"/>
    </row>
    <row r="267" spans="1:27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  <c r="AA267" s="191"/>
    </row>
    <row r="268" spans="1:27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  <c r="AA268" s="191"/>
    </row>
    <row r="269" spans="1:27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  <c r="AA269" s="191"/>
    </row>
    <row r="270" spans="1:27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  <c r="AA270" s="191"/>
    </row>
    <row r="271" spans="1:27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  <c r="AA271" s="191"/>
    </row>
    <row r="272" spans="1:27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  <c r="AA272" s="191"/>
    </row>
    <row r="273" spans="1:27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  <c r="AA273" s="191"/>
    </row>
    <row r="274" spans="1:27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  <c r="AA274" s="191"/>
    </row>
    <row r="275" spans="1:27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  <c r="AA275" s="191"/>
    </row>
    <row r="276" spans="1:27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  <c r="AA276" s="191"/>
    </row>
    <row r="277" spans="1:27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  <c r="AA277" s="191"/>
    </row>
    <row r="278" spans="1:27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  <c r="AA278" s="191"/>
    </row>
    <row r="279" spans="1:27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  <c r="AA279" s="191"/>
    </row>
    <row r="280" spans="1:27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  <c r="AA280" s="191"/>
    </row>
    <row r="281" spans="1:27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  <c r="AA281" s="191"/>
    </row>
    <row r="282" spans="1:27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  <c r="AA282" s="191"/>
    </row>
    <row r="283" spans="1:27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  <c r="AA283" s="191"/>
    </row>
    <row r="284" spans="1:27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  <c r="AA284" s="191"/>
    </row>
    <row r="285" spans="1:27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  <c r="AA285" s="191"/>
    </row>
    <row r="286" spans="1:27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  <c r="AA286" s="191"/>
    </row>
    <row r="287" spans="1:27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  <c r="AA287" s="191"/>
    </row>
    <row r="288" spans="1:27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  <c r="AA288" s="191"/>
    </row>
    <row r="289" spans="1:27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  <c r="AA289" s="191"/>
    </row>
    <row r="290" spans="1:27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  <c r="AA290" s="191"/>
    </row>
    <row r="291" spans="1:27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  <c r="AA291" s="191"/>
    </row>
    <row r="292" spans="1:27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  <c r="AA292" s="191"/>
    </row>
    <row r="293" spans="1:27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  <c r="AA293" s="191"/>
    </row>
    <row r="294" spans="1:27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  <c r="AA294" s="191"/>
    </row>
    <row r="295" spans="1:27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  <c r="AA295" s="191"/>
    </row>
    <row r="296" spans="1:27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  <c r="AA296" s="191"/>
    </row>
    <row r="297" spans="1:27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  <c r="AA297" s="191"/>
    </row>
    <row r="298" spans="1:27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  <c r="AA298" s="191"/>
    </row>
    <row r="299" spans="1:27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  <c r="AA299" s="191"/>
    </row>
    <row r="300" spans="1:27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  <c r="AA300" s="191"/>
    </row>
    <row r="301" spans="1:27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  <c r="AA301" s="191"/>
    </row>
    <row r="302" spans="1:27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  <c r="AA302" s="191"/>
    </row>
    <row r="303" spans="1:27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  <c r="AA303" s="191"/>
    </row>
    <row r="304" spans="1:27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  <c r="AA304" s="191"/>
    </row>
    <row r="305" spans="1:27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  <c r="AA305" s="191"/>
    </row>
    <row r="306" spans="1:27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  <c r="AA306" s="191"/>
    </row>
    <row r="307" spans="1:27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  <c r="AA307" s="191"/>
    </row>
    <row r="308" spans="1:27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  <c r="AA308" s="191"/>
    </row>
    <row r="309" spans="1:27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  <c r="AA309" s="191"/>
    </row>
    <row r="310" spans="1:27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  <c r="AA310" s="191"/>
    </row>
    <row r="311" spans="1:27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  <c r="AA311" s="191"/>
    </row>
    <row r="312" spans="1:27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  <c r="AA312" s="191"/>
    </row>
    <row r="313" spans="1:27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  <c r="AA313" s="191"/>
    </row>
    <row r="314" spans="1:27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  <c r="AA314" s="191"/>
    </row>
    <row r="315" spans="1:27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  <c r="AA315" s="191"/>
    </row>
    <row r="316" spans="1:27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  <c r="AA316" s="191"/>
    </row>
    <row r="317" spans="1:27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  <c r="AA317" s="191"/>
    </row>
    <row r="318" spans="1:27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  <c r="AA318" s="191"/>
    </row>
    <row r="319" spans="1:27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  <c r="AA319" s="191"/>
    </row>
    <row r="320" spans="1:27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  <c r="AA320" s="191"/>
    </row>
    <row r="321" spans="1:27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  <c r="AA321" s="191"/>
    </row>
    <row r="322" spans="1:27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  <c r="AA322" s="191"/>
    </row>
    <row r="323" spans="1:27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  <c r="AA323" s="191"/>
    </row>
    <row r="324" spans="1:27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  <c r="AA324" s="191"/>
    </row>
    <row r="325" spans="1:27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  <c r="AA325" s="191"/>
    </row>
    <row r="326" spans="1:27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  <c r="AA326" s="191"/>
    </row>
    <row r="327" spans="1:27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  <c r="AA327" s="191"/>
    </row>
    <row r="328" spans="1:27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  <c r="AA328" s="191"/>
    </row>
    <row r="329" spans="1:27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  <c r="AA329" s="191"/>
    </row>
    <row r="330" spans="1:27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  <c r="AA330" s="191"/>
    </row>
    <row r="331" spans="1:27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  <c r="AA331" s="191"/>
    </row>
    <row r="332" spans="1:27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  <c r="AA332" s="191"/>
    </row>
    <row r="333" spans="1:27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  <c r="AA333" s="191"/>
    </row>
    <row r="334" spans="1:27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  <c r="AA334" s="191"/>
    </row>
    <row r="335" spans="1:27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  <c r="AA335" s="191"/>
    </row>
    <row r="336" spans="1:27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  <c r="AA336" s="191"/>
    </row>
    <row r="337" spans="1:27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  <c r="AA337" s="191"/>
    </row>
    <row r="338" spans="1:27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  <c r="AA338" s="191"/>
    </row>
    <row r="339" spans="1:27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  <c r="AA339" s="191"/>
    </row>
    <row r="340" spans="1:27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  <c r="AA340" s="191"/>
    </row>
    <row r="341" spans="1:27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  <c r="AA341" s="191"/>
    </row>
    <row r="342" spans="1:27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  <c r="AA342" s="191"/>
    </row>
    <row r="343" spans="1:27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  <c r="AA343" s="191"/>
    </row>
    <row r="344" spans="1:27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  <c r="AA344" s="191"/>
    </row>
    <row r="345" spans="1:27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  <c r="AA345" s="191"/>
    </row>
    <row r="346" spans="1:27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  <c r="AA346" s="191"/>
    </row>
    <row r="347" spans="1:27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  <c r="AA347" s="191"/>
    </row>
    <row r="348" spans="1:27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  <c r="AA348" s="191"/>
    </row>
    <row r="349" spans="1:27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  <c r="AA349" s="191"/>
    </row>
    <row r="350" spans="1:27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  <c r="AA350" s="191"/>
    </row>
    <row r="351" spans="1:27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  <c r="AA351" s="191"/>
    </row>
    <row r="352" spans="1:27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  <c r="AA352" s="191"/>
    </row>
    <row r="353" spans="1:27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  <c r="AA353" s="191"/>
    </row>
    <row r="354" spans="1:27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  <c r="AA354" s="191"/>
    </row>
    <row r="355" spans="1:27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  <c r="AA355" s="191"/>
    </row>
    <row r="356" spans="1:27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  <c r="AA356" s="191"/>
    </row>
    <row r="357" spans="1:27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  <c r="AA357" s="191"/>
    </row>
    <row r="358" spans="1:27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  <c r="AA358" s="191"/>
    </row>
    <row r="359" spans="1:27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  <c r="AA359" s="191"/>
    </row>
    <row r="360" spans="1:27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  <c r="AA360" s="191"/>
    </row>
    <row r="361" spans="1:27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  <c r="AA361" s="191"/>
    </row>
    <row r="362" spans="1:27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  <c r="AA362" s="191"/>
    </row>
    <row r="363" spans="1:27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  <c r="AA363" s="191"/>
    </row>
    <row r="364" spans="1:27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  <c r="AA364" s="191"/>
    </row>
    <row r="365" spans="1:27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  <c r="AA365" s="191"/>
    </row>
    <row r="366" spans="1:27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  <c r="AA366" s="191"/>
    </row>
    <row r="367" spans="1:27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  <c r="AA367" s="191"/>
    </row>
    <row r="368" spans="1:27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  <c r="AA368" s="191"/>
    </row>
    <row r="369" spans="1:27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  <c r="AA369" s="191"/>
    </row>
    <row r="370" spans="1:27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  <c r="AA370" s="191"/>
    </row>
    <row r="371" spans="1:27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  <c r="AA371" s="191"/>
    </row>
    <row r="372" spans="1:27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  <c r="AA372" s="191"/>
    </row>
    <row r="373" spans="1:27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  <c r="AA373" s="191"/>
    </row>
    <row r="374" spans="1:27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  <c r="AA374" s="191"/>
    </row>
    <row r="375" spans="1:27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  <c r="AA375" s="191"/>
    </row>
    <row r="376" spans="1:27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  <c r="AA376" s="191"/>
    </row>
    <row r="377" spans="1:27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  <c r="AA377" s="191"/>
    </row>
    <row r="378" spans="1:27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  <c r="AA378" s="191"/>
    </row>
    <row r="379" spans="1:27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  <c r="AA379" s="191"/>
    </row>
    <row r="380" spans="1:27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  <c r="AA380" s="191"/>
    </row>
    <row r="381" spans="1:27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  <c r="AA381" s="191"/>
    </row>
    <row r="382" spans="1:27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  <c r="AA382" s="191"/>
    </row>
    <row r="383" spans="1:27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  <c r="AA383" s="191"/>
    </row>
    <row r="384" spans="1:27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  <c r="AA384" s="191"/>
    </row>
    <row r="385" spans="1:27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  <c r="AA385" s="191"/>
    </row>
    <row r="386" spans="1:27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  <c r="AA386" s="191"/>
    </row>
    <row r="387" spans="1:27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  <c r="AA387" s="191"/>
    </row>
    <row r="388" spans="1:27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  <c r="AA388" s="191"/>
    </row>
    <row r="389" spans="1:27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  <c r="AA389" s="191"/>
    </row>
    <row r="390" spans="1:27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  <c r="AA390" s="191"/>
    </row>
    <row r="391" spans="1:27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  <c r="AA391" s="191"/>
    </row>
    <row r="392" spans="1:27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  <c r="AA392" s="191"/>
    </row>
    <row r="393" spans="1:27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  <c r="AA393" s="191"/>
    </row>
    <row r="394" spans="1:27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  <c r="AA394" s="191"/>
    </row>
    <row r="395" spans="1:27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  <c r="AA395" s="191"/>
    </row>
    <row r="396" spans="1:27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  <c r="AA396" s="191"/>
    </row>
    <row r="397" spans="1:27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  <c r="AA397" s="191"/>
    </row>
    <row r="398" spans="1:27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  <c r="AA398" s="191"/>
    </row>
    <row r="399" spans="1:27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</row>
    <row r="400" spans="1:27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  <c r="AA400" s="191"/>
    </row>
    <row r="401" spans="1:27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  <c r="AA401" s="191"/>
    </row>
    <row r="402" spans="1:27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  <c r="AA402" s="191"/>
    </row>
    <row r="403" spans="1:27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  <c r="AA403" s="191"/>
    </row>
    <row r="404" spans="1:27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  <c r="AA404" s="191"/>
    </row>
    <row r="405" spans="1:27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  <c r="AA405" s="191"/>
    </row>
    <row r="406" spans="1:27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  <c r="AA406" s="191"/>
    </row>
    <row r="407" spans="1:27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  <c r="AA407" s="191"/>
    </row>
    <row r="408" spans="1:27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  <c r="AA408" s="191"/>
    </row>
    <row r="409" spans="1:27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  <c r="AA409" s="191"/>
    </row>
    <row r="410" spans="1:27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  <c r="AA410" s="191"/>
    </row>
    <row r="411" spans="1:27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  <c r="AA411" s="191"/>
    </row>
    <row r="412" spans="1:27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  <c r="AA412" s="191"/>
    </row>
    <row r="413" spans="1:27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  <c r="AA413" s="191"/>
    </row>
    <row r="414" spans="1:27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  <c r="AA414" s="191"/>
    </row>
    <row r="415" spans="1:27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  <c r="AA415" s="191"/>
    </row>
    <row r="416" spans="1:27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  <c r="AA416" s="191"/>
    </row>
    <row r="417" spans="1:27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  <c r="AA417" s="191"/>
    </row>
    <row r="418" spans="1:27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  <c r="AA418" s="191"/>
    </row>
    <row r="419" spans="1:27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  <c r="AA419" s="191"/>
    </row>
    <row r="420" spans="1:27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  <c r="AA420" s="191"/>
    </row>
    <row r="421" spans="1:27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  <c r="AA421" s="191"/>
    </row>
    <row r="422" spans="1:27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  <c r="AA422" s="191"/>
    </row>
    <row r="423" spans="1:27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  <c r="AA423" s="191"/>
    </row>
    <row r="424" spans="1:27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  <c r="AA424" s="191"/>
    </row>
    <row r="425" spans="1:27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  <c r="AA425" s="191"/>
    </row>
    <row r="426" spans="1:27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  <c r="AA426" s="191"/>
    </row>
    <row r="427" spans="1:27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  <c r="AA427" s="191"/>
    </row>
    <row r="428" spans="1:27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  <c r="AA428" s="191"/>
    </row>
    <row r="429" spans="1:27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  <c r="AA429" s="191"/>
    </row>
    <row r="430" spans="1:27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  <c r="AA430" s="191"/>
    </row>
    <row r="431" spans="1:27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  <c r="AA431" s="191"/>
    </row>
    <row r="432" spans="1:27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  <c r="AA432" s="191"/>
    </row>
    <row r="433" spans="1:27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  <c r="AA433" s="191"/>
    </row>
    <row r="434" spans="1:27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  <c r="AA434" s="191"/>
    </row>
    <row r="435" spans="1:27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  <c r="AA435" s="191"/>
    </row>
    <row r="436" spans="1:27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  <c r="AA436" s="191"/>
    </row>
    <row r="437" spans="1:27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  <c r="AA437" s="191"/>
    </row>
    <row r="438" spans="1:27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  <c r="AA438" s="191"/>
    </row>
    <row r="439" spans="1:27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  <c r="AA439" s="191"/>
    </row>
    <row r="440" spans="1:27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  <c r="AA440" s="191"/>
    </row>
    <row r="441" spans="1:27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  <c r="AA441" s="191"/>
    </row>
    <row r="442" spans="1:27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  <c r="AA442" s="191"/>
    </row>
    <row r="443" spans="1:27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  <c r="AA443" s="191"/>
    </row>
    <row r="444" spans="1:27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  <c r="AA444" s="191"/>
    </row>
    <row r="445" spans="1:27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  <c r="AA445" s="191"/>
    </row>
    <row r="446" spans="1:27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  <c r="AA446" s="191"/>
    </row>
    <row r="447" spans="1:27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  <c r="AA447" s="191"/>
    </row>
    <row r="448" spans="1:27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  <c r="AA448" s="191"/>
    </row>
    <row r="449" spans="1:27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  <c r="AA449" s="191"/>
    </row>
    <row r="450" spans="1:27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  <c r="AA450" s="191"/>
    </row>
    <row r="451" spans="1:27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  <c r="AA451" s="191"/>
    </row>
    <row r="452" spans="1:27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  <c r="AA452" s="191"/>
    </row>
    <row r="453" spans="1:27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  <c r="AA453" s="191"/>
    </row>
    <row r="454" spans="1:27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  <c r="AA454" s="191"/>
    </row>
    <row r="455" spans="1:27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  <c r="AA455" s="191"/>
    </row>
    <row r="456" spans="1:27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  <c r="AA456" s="191"/>
    </row>
    <row r="457" spans="1:27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  <c r="AA457" s="191"/>
    </row>
    <row r="458" spans="1:27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  <c r="AA458" s="191"/>
    </row>
    <row r="459" spans="1:27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  <c r="AA459" s="191"/>
    </row>
    <row r="460" spans="1:27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  <c r="AA460" s="191"/>
    </row>
    <row r="461" spans="1:27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  <c r="AA461" s="191"/>
    </row>
    <row r="462" spans="1:27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  <c r="AA462" s="191"/>
    </row>
    <row r="463" spans="1:27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  <c r="AA463" s="191"/>
    </row>
    <row r="464" spans="1:27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  <c r="AA464" s="191"/>
    </row>
    <row r="465" spans="1:27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  <c r="AA465" s="191"/>
    </row>
    <row r="466" spans="1:27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  <c r="AA466" s="191"/>
    </row>
    <row r="467" spans="1:27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  <c r="AA467" s="191"/>
    </row>
    <row r="468" spans="1:27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  <c r="AA468" s="191"/>
    </row>
    <row r="469" spans="1:27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  <c r="AA469" s="191"/>
    </row>
    <row r="470" spans="1:27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  <c r="AA470" s="191"/>
    </row>
    <row r="471" spans="1:27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  <c r="AA471" s="191"/>
    </row>
    <row r="472" spans="1:27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  <c r="AA472" s="191"/>
    </row>
    <row r="473" spans="1:27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  <c r="AA473" s="191"/>
    </row>
    <row r="474" spans="1:27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  <c r="AA474" s="191"/>
    </row>
    <row r="475" spans="1:27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  <c r="AA475" s="191"/>
    </row>
    <row r="476" spans="1:27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  <c r="AA476" s="191"/>
    </row>
    <row r="477" spans="1:27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  <c r="AA477" s="191"/>
    </row>
    <row r="478" spans="1:27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  <c r="AA478" s="191"/>
    </row>
    <row r="479" spans="1:27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  <c r="AA479" s="191"/>
    </row>
    <row r="480" spans="1:27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  <c r="AA480" s="191"/>
    </row>
    <row r="481" spans="1:27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  <c r="AA481" s="191"/>
    </row>
    <row r="482" spans="1:27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  <c r="AA482" s="191"/>
    </row>
    <row r="483" spans="1:27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  <c r="AA483" s="191"/>
    </row>
    <row r="484" spans="1:27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  <c r="AA484" s="191"/>
    </row>
    <row r="485" spans="1:27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  <c r="AA485" s="191"/>
    </row>
    <row r="486" spans="1:27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  <c r="AA486" s="191"/>
    </row>
    <row r="487" spans="1:27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  <c r="AA487" s="191"/>
    </row>
    <row r="488" spans="1:27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  <c r="AA488" s="191"/>
    </row>
    <row r="489" spans="1:27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  <c r="AA489" s="191"/>
    </row>
    <row r="490" spans="1:27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  <c r="AA490" s="191"/>
    </row>
    <row r="491" spans="1:27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  <c r="AA491" s="191"/>
    </row>
    <row r="492" spans="1:27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  <c r="AA492" s="191"/>
    </row>
    <row r="493" spans="1:27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  <c r="AA493" s="191"/>
    </row>
    <row r="494" spans="1:27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  <c r="AA494" s="191"/>
    </row>
    <row r="495" spans="1:27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  <c r="AA495" s="191"/>
    </row>
    <row r="496" spans="1:27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  <c r="AA496" s="191"/>
    </row>
    <row r="497" spans="1:27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  <c r="AA497" s="191"/>
    </row>
    <row r="498" spans="1:27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  <c r="AA498" s="191"/>
    </row>
    <row r="499" spans="1:27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  <c r="AA499" s="191"/>
    </row>
    <row r="500" spans="1:27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  <c r="AA500" s="191"/>
    </row>
    <row r="501" spans="1:27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  <c r="AA501" s="191"/>
    </row>
    <row r="502" spans="1:27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  <c r="AA502" s="191"/>
    </row>
    <row r="503" spans="1:27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  <c r="AA503" s="191"/>
    </row>
    <row r="504" spans="1:27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  <c r="AA504" s="191"/>
    </row>
    <row r="505" spans="1:27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  <c r="AA505" s="191"/>
    </row>
    <row r="506" spans="1:27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  <c r="AA506" s="191"/>
    </row>
    <row r="507" spans="1:27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  <c r="AA507" s="191"/>
    </row>
    <row r="508" spans="1:27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  <c r="AA508" s="191"/>
    </row>
    <row r="509" spans="1:27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  <c r="AA509" s="191"/>
    </row>
    <row r="510" spans="1:27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  <c r="AA510" s="191"/>
    </row>
    <row r="511" spans="1:27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  <c r="AA511" s="191"/>
    </row>
    <row r="512" spans="1:27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  <c r="AA512" s="191"/>
    </row>
    <row r="513" spans="1:27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  <c r="AA513" s="191"/>
    </row>
    <row r="514" spans="1:27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  <c r="AA514" s="191"/>
    </row>
    <row r="515" spans="1:27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  <c r="AA515" s="191"/>
    </row>
    <row r="516" spans="1:27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  <c r="AA516" s="191"/>
    </row>
    <row r="517" spans="1:27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  <c r="AA517" s="191"/>
    </row>
    <row r="518" spans="1:27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  <c r="AA518" s="191"/>
    </row>
    <row r="519" spans="1:27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  <c r="AA519" s="191"/>
    </row>
    <row r="520" spans="1:27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  <c r="AA520" s="191"/>
    </row>
    <row r="521" spans="1:27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  <c r="AA521" s="191"/>
    </row>
    <row r="522" spans="1:27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  <c r="AA522" s="191"/>
    </row>
    <row r="523" spans="1:27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  <c r="AA523" s="191"/>
    </row>
    <row r="524" spans="1:27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  <c r="AA524" s="191"/>
    </row>
    <row r="525" spans="1:27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  <c r="AA525" s="191"/>
    </row>
    <row r="526" spans="1:27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  <c r="AA526" s="191"/>
    </row>
    <row r="527" spans="1:27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  <c r="AA527" s="191"/>
    </row>
    <row r="528" spans="1:27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  <c r="AA528" s="191"/>
    </row>
    <row r="529" spans="1:27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  <c r="AA529" s="191"/>
    </row>
    <row r="530" spans="1:27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  <c r="AA530" s="191"/>
    </row>
    <row r="531" spans="1:27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  <c r="AA531" s="191"/>
    </row>
    <row r="532" spans="1:27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  <c r="AA532" s="191"/>
    </row>
    <row r="533" spans="1:27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  <c r="AA533" s="191"/>
    </row>
    <row r="534" spans="1:27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  <c r="AA534" s="191"/>
    </row>
    <row r="535" spans="1:27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  <c r="AA535" s="191"/>
    </row>
    <row r="536" spans="1:27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  <c r="AA536" s="191"/>
    </row>
    <row r="537" spans="1:27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  <c r="AA537" s="191"/>
    </row>
    <row r="538" spans="1:27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  <c r="AA538" s="191"/>
    </row>
    <row r="539" spans="1:27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  <c r="AA539" s="191"/>
    </row>
    <row r="540" spans="1:27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  <c r="AA540" s="191"/>
    </row>
    <row r="541" spans="1:27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  <c r="AA541" s="191"/>
    </row>
    <row r="542" spans="1:27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  <c r="AA542" s="191"/>
    </row>
    <row r="543" spans="1:27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  <c r="AA543" s="191"/>
    </row>
    <row r="544" spans="1:27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  <c r="AA544" s="191"/>
    </row>
    <row r="545" spans="1:27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  <c r="AA545" s="191"/>
    </row>
    <row r="546" spans="1:27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  <c r="AA546" s="191"/>
    </row>
    <row r="547" spans="1:27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  <c r="AA547" s="191"/>
    </row>
    <row r="548" spans="1:27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  <c r="AA548" s="191"/>
    </row>
    <row r="549" spans="1:27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  <c r="AA549" s="191"/>
    </row>
    <row r="550" spans="1:27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  <c r="AA550" s="191"/>
    </row>
    <row r="551" spans="1:27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  <c r="AA551" s="191"/>
    </row>
    <row r="552" spans="1:27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  <c r="AA552" s="191"/>
    </row>
    <row r="553" spans="1:27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  <c r="AA553" s="191"/>
    </row>
    <row r="554" spans="1:27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  <c r="AA554" s="191"/>
    </row>
    <row r="555" spans="1:27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  <c r="AA555" s="191"/>
    </row>
    <row r="556" spans="1:27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  <c r="AA556" s="191"/>
    </row>
    <row r="557" spans="1:27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  <c r="AA557" s="191"/>
    </row>
    <row r="558" spans="1:27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  <c r="AA558" s="191"/>
    </row>
    <row r="559" spans="1:27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  <c r="AA559" s="191"/>
    </row>
    <row r="560" spans="1:27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  <c r="AA560" s="191"/>
    </row>
    <row r="561" spans="1:27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  <c r="AA561" s="191"/>
    </row>
    <row r="562" spans="1:27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  <c r="AA562" s="191"/>
    </row>
    <row r="563" spans="1:27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  <c r="AA563" s="191"/>
    </row>
    <row r="564" spans="1:27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  <c r="AA564" s="191"/>
    </row>
    <row r="565" spans="1:27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  <c r="AA565" s="191"/>
    </row>
    <row r="566" spans="1:27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  <c r="AA566" s="191"/>
    </row>
    <row r="567" spans="1:27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  <c r="AA567" s="191"/>
    </row>
    <row r="568" spans="1:27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  <c r="AA568" s="191"/>
    </row>
    <row r="569" spans="1:27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  <c r="AA569" s="191"/>
    </row>
    <row r="570" spans="1:27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  <c r="AA570" s="191"/>
    </row>
    <row r="571" spans="1:27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  <c r="AA571" s="191"/>
    </row>
    <row r="572" spans="1:27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  <c r="AA572" s="191"/>
    </row>
    <row r="573" spans="1:27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  <c r="AA573" s="191"/>
    </row>
    <row r="574" spans="1:27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  <c r="AA574" s="191"/>
    </row>
    <row r="575" spans="1:27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  <c r="AA575" s="191"/>
    </row>
    <row r="576" spans="1:27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  <c r="AA576" s="191"/>
    </row>
    <row r="577" spans="1:27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  <c r="AA577" s="191"/>
    </row>
    <row r="578" spans="1:27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  <c r="AA578" s="191"/>
    </row>
    <row r="579" spans="1:27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  <c r="AA579" s="191"/>
    </row>
    <row r="580" spans="1:27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  <c r="AA580" s="191"/>
    </row>
    <row r="581" spans="1:27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  <c r="AA581" s="191"/>
    </row>
    <row r="582" spans="1:27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  <c r="AA582" s="191"/>
    </row>
    <row r="583" spans="1:27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  <c r="AA583" s="191"/>
    </row>
    <row r="584" spans="1:27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  <c r="AA584" s="191"/>
    </row>
    <row r="585" spans="1:27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  <c r="AA585" s="191"/>
    </row>
    <row r="586" spans="1:27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  <c r="AA586" s="191"/>
    </row>
    <row r="587" spans="1:27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  <c r="AA587" s="191"/>
    </row>
    <row r="588" spans="1:27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  <c r="AA588" s="191"/>
    </row>
    <row r="589" spans="1:27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  <c r="AA589" s="191"/>
    </row>
    <row r="590" spans="1:27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  <c r="AA590" s="191"/>
    </row>
    <row r="591" spans="1:27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  <c r="AA591" s="191"/>
    </row>
    <row r="592" spans="1:27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  <c r="AA592" s="191"/>
    </row>
    <row r="593" spans="1:27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  <c r="AA593" s="191"/>
    </row>
    <row r="594" spans="1:27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  <c r="AA594" s="191"/>
    </row>
    <row r="595" spans="1:27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  <c r="AA595" s="191"/>
    </row>
    <row r="596" spans="1:27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  <c r="AA596" s="191"/>
    </row>
    <row r="597" spans="1:27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  <c r="AA597" s="191"/>
    </row>
    <row r="598" spans="1:27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  <c r="AA598" s="191"/>
    </row>
    <row r="599" spans="1:27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  <c r="AA599" s="191"/>
    </row>
    <row r="600" spans="1:27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  <c r="AA600" s="191"/>
    </row>
    <row r="601" spans="1:27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  <c r="AA601" s="191"/>
    </row>
    <row r="602" spans="1:27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  <c r="AA602" s="191"/>
    </row>
    <row r="603" spans="1:27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  <c r="AA603" s="191"/>
    </row>
    <row r="604" spans="1:27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  <c r="AA604" s="191"/>
    </row>
    <row r="605" spans="1:27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  <c r="AA605" s="191"/>
    </row>
    <row r="606" spans="1:27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  <c r="AA606" s="191"/>
    </row>
    <row r="607" spans="1:27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  <c r="AA607" s="191"/>
    </row>
    <row r="608" spans="1:27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  <c r="AA608" s="191"/>
    </row>
    <row r="609" spans="1:27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  <c r="AA609" s="191"/>
    </row>
    <row r="610" spans="1:27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  <c r="AA610" s="191"/>
    </row>
    <row r="611" spans="1:27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  <c r="AA611" s="191"/>
    </row>
    <row r="612" spans="1:27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  <c r="AA612" s="191"/>
    </row>
    <row r="613" spans="1:27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  <c r="AA613" s="191"/>
    </row>
    <row r="614" spans="1:27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  <c r="AA614" s="191"/>
    </row>
    <row r="615" spans="1:27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  <c r="AA615" s="191"/>
    </row>
    <row r="616" spans="1:27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  <c r="AA616" s="191"/>
    </row>
    <row r="617" spans="1:27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  <c r="AA617" s="191"/>
    </row>
    <row r="618" spans="1:27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  <c r="AA618" s="191"/>
    </row>
    <row r="619" spans="1:27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  <c r="AA619" s="191"/>
    </row>
    <row r="620" spans="1:27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  <c r="AA620" s="191"/>
    </row>
    <row r="621" spans="1:27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  <c r="AA621" s="191"/>
    </row>
    <row r="622" spans="1:27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  <c r="AA622" s="191"/>
    </row>
    <row r="623" spans="1:27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  <c r="AA623" s="191"/>
    </row>
    <row r="624" spans="1:27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  <c r="AA624" s="191"/>
    </row>
    <row r="625" spans="1:27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  <c r="AA625" s="191"/>
    </row>
    <row r="626" spans="1:27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  <c r="AA626" s="191"/>
    </row>
    <row r="627" spans="1:27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  <c r="AA627" s="191"/>
    </row>
    <row r="628" spans="1:27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  <c r="AA628" s="191"/>
    </row>
    <row r="629" spans="1:27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  <c r="AA629" s="191"/>
    </row>
    <row r="630" spans="1:27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  <c r="AA630" s="191"/>
    </row>
    <row r="631" spans="1:27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  <c r="AA631" s="191"/>
    </row>
    <row r="632" spans="1:27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  <c r="AA632" s="191"/>
    </row>
    <row r="633" spans="1:27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  <c r="AA633" s="191"/>
    </row>
    <row r="634" spans="1:27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  <c r="AA634" s="191"/>
    </row>
    <row r="635" spans="1:27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  <c r="AA635" s="191"/>
    </row>
    <row r="636" spans="1:27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  <c r="AA636" s="191"/>
    </row>
    <row r="637" spans="1:27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  <c r="AA637" s="191"/>
    </row>
    <row r="638" spans="1:27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  <c r="AA638" s="191"/>
    </row>
    <row r="639" spans="1:27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  <c r="AA639" s="191"/>
    </row>
    <row r="640" spans="1:27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  <c r="AA640" s="191"/>
    </row>
    <row r="641" spans="1:27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  <c r="AA641" s="191"/>
    </row>
    <row r="642" spans="1:27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  <c r="AA642" s="191"/>
    </row>
    <row r="643" spans="1:27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  <c r="AA643" s="191"/>
    </row>
    <row r="644" spans="1:27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  <c r="AA644" s="191"/>
    </row>
    <row r="645" spans="1:27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  <c r="AA645" s="191"/>
    </row>
    <row r="646" spans="1:27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  <c r="AA646" s="191"/>
    </row>
    <row r="647" spans="1:27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  <c r="AA647" s="191"/>
    </row>
    <row r="648" spans="1:27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  <c r="AA648" s="191"/>
    </row>
    <row r="649" spans="1:27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  <c r="AA649" s="191"/>
    </row>
    <row r="650" spans="1:27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  <c r="AA650" s="191"/>
    </row>
    <row r="651" spans="1:27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  <c r="AA651" s="191"/>
    </row>
    <row r="652" spans="1:27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  <c r="AA652" s="191"/>
    </row>
    <row r="653" spans="1:27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  <c r="AA653" s="191"/>
    </row>
    <row r="654" spans="1:27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  <c r="AA654" s="191"/>
    </row>
    <row r="655" spans="1:27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  <c r="AA655" s="191"/>
    </row>
    <row r="656" spans="1:27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  <c r="AA656" s="191"/>
    </row>
    <row r="657" spans="1:27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  <c r="AA657" s="191"/>
    </row>
    <row r="658" spans="1:27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  <c r="AA658" s="191"/>
    </row>
    <row r="659" spans="1:27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  <c r="AA659" s="191"/>
    </row>
    <row r="660" spans="1:27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  <c r="AA660" s="191"/>
    </row>
    <row r="661" spans="1:27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  <c r="AA661" s="191"/>
    </row>
    <row r="662" spans="1:27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  <c r="AA662" s="191"/>
    </row>
    <row r="663" spans="1:27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  <c r="AA663" s="191"/>
    </row>
    <row r="664" spans="1:27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  <c r="AA664" s="191"/>
    </row>
    <row r="665" spans="1:27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  <c r="AA665" s="191"/>
    </row>
    <row r="666" spans="1:27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  <c r="AA666" s="191"/>
    </row>
    <row r="667" spans="1:27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  <c r="AA667" s="191"/>
    </row>
    <row r="668" spans="1:27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  <c r="AA668" s="191"/>
    </row>
    <row r="669" spans="1:27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  <c r="AA669" s="191"/>
    </row>
    <row r="670" spans="1:27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  <c r="AA670" s="191"/>
    </row>
    <row r="671" spans="1:27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  <c r="AA671" s="191"/>
    </row>
    <row r="672" spans="1:27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  <c r="AA672" s="191"/>
    </row>
    <row r="673" spans="1:27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  <c r="AA673" s="191"/>
    </row>
    <row r="674" spans="1:27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  <c r="AA674" s="191"/>
    </row>
    <row r="675" spans="1:27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  <c r="AA675" s="191"/>
    </row>
    <row r="676" spans="1:27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  <c r="AA676" s="191"/>
    </row>
    <row r="677" spans="1:27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  <c r="AA677" s="191"/>
    </row>
    <row r="678" spans="1:27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  <c r="AA678" s="191"/>
    </row>
    <row r="679" spans="1:27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  <c r="AA679" s="191"/>
    </row>
    <row r="680" spans="1:27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  <c r="AA680" s="191"/>
    </row>
    <row r="681" spans="1:27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  <c r="AA681" s="191"/>
    </row>
    <row r="682" spans="1:27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  <c r="AA682" s="191"/>
    </row>
    <row r="683" spans="1:27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  <c r="AA683" s="191"/>
    </row>
    <row r="684" spans="1:27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  <c r="AA684" s="191"/>
    </row>
    <row r="685" spans="1:27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  <c r="AA685" s="191"/>
    </row>
    <row r="686" spans="1:27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  <c r="AA686" s="191"/>
    </row>
    <row r="687" spans="1:27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  <c r="AA687" s="191"/>
    </row>
    <row r="688" spans="1:27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  <c r="AA688" s="191"/>
    </row>
    <row r="689" spans="1:27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  <c r="AA689" s="191"/>
    </row>
    <row r="690" spans="1:27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  <c r="AA690" s="191"/>
    </row>
    <row r="691" spans="1:27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  <c r="AA691" s="191"/>
    </row>
    <row r="692" spans="1:27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  <c r="AA692" s="191"/>
    </row>
    <row r="693" spans="1:27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  <c r="AA693" s="191"/>
    </row>
    <row r="694" spans="1:27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  <c r="AA694" s="191"/>
    </row>
    <row r="695" spans="1:27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  <c r="AA695" s="191"/>
    </row>
    <row r="696" spans="1:27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  <c r="AA696" s="191"/>
    </row>
    <row r="697" spans="1:27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  <c r="AA697" s="191"/>
    </row>
    <row r="698" spans="1:27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  <c r="AA698" s="191"/>
    </row>
    <row r="699" spans="1:27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  <c r="AA699" s="191"/>
    </row>
    <row r="700" spans="1:27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  <c r="AA700" s="191"/>
    </row>
    <row r="701" spans="1:27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  <c r="AA701" s="191"/>
    </row>
    <row r="702" spans="1:27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  <c r="AA702" s="191"/>
    </row>
    <row r="703" spans="1:27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  <c r="AA703" s="191"/>
    </row>
    <row r="704" spans="1:27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  <c r="AA704" s="191"/>
    </row>
    <row r="705" spans="1:27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  <c r="AA705" s="191"/>
    </row>
    <row r="706" spans="1:27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  <c r="AA706" s="191"/>
    </row>
    <row r="707" spans="1:27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  <c r="AA707" s="191"/>
    </row>
    <row r="708" spans="1:27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  <c r="AA708" s="191"/>
    </row>
    <row r="709" spans="1:27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  <c r="AA709" s="191"/>
    </row>
    <row r="710" spans="1:27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  <c r="AA710" s="191"/>
    </row>
    <row r="711" spans="1:27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  <c r="AA711" s="191"/>
    </row>
    <row r="712" spans="1:27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  <c r="AA712" s="191"/>
    </row>
    <row r="713" spans="1:27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  <c r="AA713" s="191"/>
    </row>
    <row r="714" spans="1:27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  <c r="AA714" s="191"/>
    </row>
    <row r="715" spans="1:27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  <c r="AA715" s="191"/>
    </row>
    <row r="716" spans="1:27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  <c r="AA716" s="191"/>
    </row>
    <row r="717" spans="1:27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  <c r="AA717" s="191"/>
    </row>
    <row r="718" spans="1:27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  <c r="AA718" s="191"/>
    </row>
    <row r="719" spans="1:27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  <c r="AA719" s="191"/>
    </row>
    <row r="720" spans="1:27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  <c r="AA720" s="191"/>
    </row>
    <row r="721" spans="1:27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  <c r="AA721" s="191"/>
    </row>
    <row r="722" spans="1:27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  <c r="AA722" s="191"/>
    </row>
    <row r="723" spans="1:27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  <c r="AA723" s="191"/>
    </row>
    <row r="724" spans="1:27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  <c r="AA724" s="191"/>
    </row>
    <row r="725" spans="1:27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  <c r="AA725" s="191"/>
    </row>
    <row r="726" spans="1:27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  <c r="AA726" s="191"/>
    </row>
    <row r="727" spans="1:27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  <c r="AA727" s="191"/>
    </row>
    <row r="728" spans="1:27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  <c r="AA728" s="191"/>
    </row>
    <row r="729" spans="1:27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  <c r="AA729" s="191"/>
    </row>
    <row r="730" spans="1:27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  <c r="AA730" s="191"/>
    </row>
    <row r="731" spans="1:27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  <c r="AA731" s="191"/>
    </row>
    <row r="732" spans="1:27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  <c r="AA732" s="191"/>
    </row>
    <row r="733" spans="1:27">
      <c r="A733" s="19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  <c r="AA733" s="191"/>
    </row>
    <row r="734" spans="1:27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  <c r="AA734" s="191"/>
    </row>
    <row r="735" spans="1:27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  <c r="AA735" s="191"/>
    </row>
    <row r="736" spans="1:27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  <c r="AA736" s="191"/>
    </row>
    <row r="737" spans="1:27">
      <c r="A737" s="19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  <c r="AA737" s="191"/>
    </row>
    <row r="738" spans="1:27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  <c r="AA738" s="191"/>
    </row>
    <row r="739" spans="1:27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  <c r="AA739" s="191"/>
    </row>
    <row r="740" spans="1:27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  <c r="AA740" s="191"/>
    </row>
    <row r="741" spans="1:27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  <c r="AA741" s="191"/>
    </row>
    <row r="742" spans="1:27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  <c r="AA742" s="191"/>
    </row>
    <row r="743" spans="1:27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  <c r="AA743" s="191"/>
    </row>
    <row r="744" spans="1:27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  <c r="AA744" s="191"/>
    </row>
    <row r="745" spans="1:27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  <c r="AA745" s="191"/>
    </row>
    <row r="746" spans="1:27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  <c r="AA746" s="191"/>
    </row>
    <row r="747" spans="1:27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  <c r="AA747" s="191"/>
    </row>
    <row r="748" spans="1:27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  <c r="AA748" s="191"/>
    </row>
    <row r="749" spans="1:27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  <c r="AA749" s="191"/>
    </row>
    <row r="750" spans="1:27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  <c r="AA750" s="191"/>
    </row>
    <row r="751" spans="1:27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  <c r="AA751" s="191"/>
    </row>
    <row r="752" spans="1:27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  <c r="AA752" s="191"/>
    </row>
    <row r="753" spans="1:27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  <c r="AA753" s="191"/>
    </row>
    <row r="754" spans="1:27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  <c r="AA754" s="191"/>
    </row>
    <row r="755" spans="1:27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  <c r="AA755" s="191"/>
    </row>
    <row r="756" spans="1:27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  <c r="AA756" s="191"/>
    </row>
    <row r="757" spans="1:27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  <c r="AA757" s="191"/>
    </row>
    <row r="758" spans="1:27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  <c r="AA758" s="191"/>
    </row>
    <row r="759" spans="1:27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  <c r="AA759" s="191"/>
    </row>
    <row r="760" spans="1:27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  <c r="AA760" s="191"/>
    </row>
    <row r="761" spans="1:27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  <c r="AA761" s="191"/>
    </row>
    <row r="762" spans="1:27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  <c r="AA762" s="191"/>
    </row>
    <row r="763" spans="1:27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  <c r="AA763" s="191"/>
    </row>
    <row r="764" spans="1:27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  <c r="AA764" s="191"/>
    </row>
    <row r="765" spans="1:27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  <c r="AA765" s="191"/>
    </row>
    <row r="766" spans="1:27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  <c r="AA766" s="191"/>
    </row>
    <row r="767" spans="1:27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  <c r="AA767" s="191"/>
    </row>
    <row r="768" spans="1:27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  <c r="AA768" s="191"/>
    </row>
    <row r="769" spans="1:27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  <c r="AA769" s="191"/>
    </row>
    <row r="770" spans="1:27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  <c r="AA770" s="191"/>
    </row>
    <row r="771" spans="1:27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  <c r="AA771" s="191"/>
    </row>
    <row r="772" spans="1:27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  <c r="AA772" s="191"/>
    </row>
    <row r="773" spans="1:27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  <c r="AA773" s="191"/>
    </row>
    <row r="774" spans="1:27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  <c r="AA774" s="191"/>
    </row>
    <row r="775" spans="1:27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  <c r="AA775" s="191"/>
    </row>
    <row r="776" spans="1:27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  <c r="AA776" s="191"/>
    </row>
    <row r="777" spans="1:27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  <c r="AA777" s="191"/>
    </row>
    <row r="778" spans="1:27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  <c r="AA778" s="191"/>
    </row>
    <row r="779" spans="1:27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  <c r="AA779" s="191"/>
    </row>
    <row r="780" spans="1:27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  <c r="AA780" s="191"/>
    </row>
    <row r="781" spans="1:27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  <c r="AA781" s="191"/>
    </row>
    <row r="782" spans="1:27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  <c r="AA782" s="191"/>
    </row>
    <row r="783" spans="1:27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  <c r="AA783" s="191"/>
    </row>
    <row r="784" spans="1:27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  <c r="AA784" s="191"/>
    </row>
    <row r="785" spans="1:27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  <c r="AA785" s="191"/>
    </row>
    <row r="786" spans="1:27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  <c r="AA786" s="191"/>
    </row>
    <row r="787" spans="1:27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  <c r="AA787" s="191"/>
    </row>
    <row r="788" spans="1:27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  <c r="AA788" s="191"/>
    </row>
    <row r="789" spans="1:27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  <c r="AA789" s="191"/>
    </row>
    <row r="790" spans="1:27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  <c r="AA790" s="191"/>
    </row>
    <row r="791" spans="1:27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  <c r="AA791" s="191"/>
    </row>
    <row r="792" spans="1:27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  <c r="AA792" s="191"/>
    </row>
    <row r="793" spans="1:27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  <c r="AA793" s="191"/>
    </row>
    <row r="794" spans="1:27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  <c r="AA794" s="191"/>
    </row>
    <row r="795" spans="1:27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  <c r="AA795" s="191"/>
    </row>
    <row r="796" spans="1:27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  <c r="AA796" s="191"/>
    </row>
    <row r="797" spans="1:27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  <c r="AA797" s="191"/>
    </row>
    <row r="798" spans="1:27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  <c r="AA798" s="191"/>
    </row>
    <row r="799" spans="1:27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  <c r="AA799" s="191"/>
    </row>
    <row r="800" spans="1:27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  <c r="AA800" s="191"/>
    </row>
    <row r="801" spans="1:27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  <c r="AA801" s="191"/>
    </row>
    <row r="802" spans="1:27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  <c r="AA802" s="191"/>
    </row>
    <row r="803" spans="1:27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  <c r="AA803" s="191"/>
    </row>
    <row r="804" spans="1:27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  <c r="AA804" s="191"/>
    </row>
    <row r="805" spans="1:27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  <c r="AA805" s="191"/>
    </row>
    <row r="806" spans="1:27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  <c r="AA806" s="191"/>
    </row>
    <row r="807" spans="1:27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  <c r="AA807" s="191"/>
    </row>
    <row r="808" spans="1:27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  <c r="AA808" s="191"/>
    </row>
    <row r="809" spans="1:27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  <c r="AA809" s="191"/>
    </row>
    <row r="810" spans="1:27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  <c r="AA810" s="191"/>
    </row>
    <row r="811" spans="1:27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  <c r="AA811" s="191"/>
    </row>
    <row r="812" spans="1:27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  <c r="AA812" s="191"/>
    </row>
    <row r="813" spans="1:27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  <c r="AA813" s="191"/>
    </row>
    <row r="814" spans="1:27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  <c r="AA814" s="191"/>
    </row>
    <row r="815" spans="1:27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  <c r="AA815" s="191"/>
    </row>
    <row r="816" spans="1:27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  <c r="AA816" s="191"/>
    </row>
    <row r="817" spans="1:27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  <c r="AA817" s="191"/>
    </row>
    <row r="818" spans="1:27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  <c r="AA818" s="191"/>
    </row>
    <row r="819" spans="1:27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  <c r="AA819" s="191"/>
    </row>
    <row r="820" spans="1:27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  <c r="AA820" s="191"/>
    </row>
    <row r="821" spans="1:27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  <c r="AA821" s="191"/>
    </row>
    <row r="822" spans="1:27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  <c r="AA822" s="191"/>
    </row>
    <row r="823" spans="1:27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  <c r="AA823" s="191"/>
    </row>
    <row r="824" spans="1:27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  <c r="AA824" s="191"/>
    </row>
    <row r="825" spans="1:27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  <c r="AA825" s="191"/>
    </row>
    <row r="826" spans="1:27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  <c r="AA826" s="191"/>
    </row>
    <row r="827" spans="1:27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  <c r="AA827" s="191"/>
    </row>
    <row r="828" spans="1:27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  <c r="AA828" s="191"/>
    </row>
    <row r="829" spans="1:27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  <c r="AA829" s="191"/>
    </row>
    <row r="830" spans="1:27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  <c r="AA830" s="191"/>
    </row>
    <row r="831" spans="1:27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  <c r="AA831" s="191"/>
    </row>
    <row r="832" spans="1:27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  <c r="AA832" s="191"/>
    </row>
    <row r="833" spans="1:27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  <c r="AA833" s="191"/>
    </row>
    <row r="834" spans="1:27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  <c r="AA834" s="191"/>
    </row>
    <row r="835" spans="1:27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  <c r="AA835" s="191"/>
    </row>
    <row r="836" spans="1:27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  <c r="AA836" s="191"/>
    </row>
    <row r="837" spans="1:27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  <c r="AA837" s="191"/>
    </row>
    <row r="838" spans="1:27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  <c r="AA838" s="191"/>
    </row>
    <row r="839" spans="1:27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  <c r="AA839" s="191"/>
    </row>
    <row r="840" spans="1:27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  <c r="AA840" s="191"/>
    </row>
    <row r="841" spans="1:27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  <c r="AA841" s="191"/>
    </row>
    <row r="842" spans="1:27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  <c r="AA842" s="191"/>
    </row>
    <row r="843" spans="1:27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  <c r="AA843" s="191"/>
    </row>
    <row r="844" spans="1:27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  <c r="AA844" s="191"/>
    </row>
    <row r="845" spans="1:27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  <c r="AA845" s="191"/>
    </row>
    <row r="846" spans="1:27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  <c r="AA846" s="191"/>
    </row>
    <row r="847" spans="1:27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  <c r="AA847" s="191"/>
    </row>
    <row r="848" spans="1:27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  <c r="AA848" s="191"/>
    </row>
    <row r="849" spans="1:27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  <c r="AA849" s="191"/>
    </row>
    <row r="850" spans="1:27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  <c r="AA850" s="191"/>
    </row>
    <row r="851" spans="1:27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  <c r="AA851" s="191"/>
    </row>
    <row r="852" spans="1:27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  <c r="AA852" s="191"/>
    </row>
    <row r="853" spans="1:27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  <c r="AA853" s="191"/>
    </row>
    <row r="854" spans="1:27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  <c r="AA854" s="191"/>
    </row>
    <row r="855" spans="1:27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  <c r="AA855" s="191"/>
    </row>
    <row r="856" spans="1:27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  <c r="AA856" s="191"/>
    </row>
    <row r="857" spans="1:27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  <c r="AA857" s="191"/>
    </row>
    <row r="858" spans="1:27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  <c r="AA858" s="191"/>
    </row>
    <row r="859" spans="1:27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  <c r="AA859" s="191"/>
    </row>
    <row r="860" spans="1:27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  <c r="AA860" s="191"/>
    </row>
    <row r="861" spans="1:27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  <c r="AA861" s="191"/>
    </row>
    <row r="862" spans="1:27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  <c r="AA862" s="191"/>
    </row>
    <row r="863" spans="1:27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  <c r="AA863" s="191"/>
    </row>
    <row r="864" spans="1:27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  <c r="AA864" s="191"/>
    </row>
    <row r="865" spans="1:27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  <c r="AA865" s="191"/>
    </row>
    <row r="866" spans="1:27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  <c r="AA866" s="191"/>
    </row>
    <row r="867" spans="1:27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  <c r="AA867" s="191"/>
    </row>
    <row r="868" spans="1:27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  <c r="AA868" s="191"/>
    </row>
    <row r="869" spans="1:27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  <c r="AA869" s="191"/>
    </row>
    <row r="870" spans="1:27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  <c r="AA870" s="191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20"/>
  <sheetViews>
    <sheetView workbookViewId="0"/>
  </sheetViews>
  <sheetFormatPr defaultColWidth="14.42578125" defaultRowHeight="15" customHeight="1"/>
  <cols>
    <col min="1" max="1" width="16.5703125" style="259" customWidth="1"/>
    <col min="3" max="3" width="19.140625" style="259" customWidth="1"/>
    <col min="4" max="4" width="30.28515625" style="259" customWidth="1"/>
    <col min="6" max="6" width="25" style="259" customWidth="1"/>
    <col min="7" max="7" width="9.7109375" style="259" customWidth="1"/>
    <col min="8" max="8" width="18.85546875" style="259" customWidth="1"/>
    <col min="9" max="9" width="12.140625" style="259" customWidth="1"/>
    <col min="10" max="10" width="6.7109375" style="259" customWidth="1"/>
    <col min="11" max="11" width="34" style="259" customWidth="1"/>
  </cols>
  <sheetData>
    <row r="1" spans="1:13">
      <c r="A1" s="34" t="s">
        <v>1731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 t="s">
        <v>1065</v>
      </c>
      <c r="D2" s="34" t="s">
        <v>1066</v>
      </c>
      <c r="E2" s="34" t="s">
        <v>1067</v>
      </c>
      <c r="F2" s="34" t="s">
        <v>1068</v>
      </c>
      <c r="G2" s="34" t="s">
        <v>1069</v>
      </c>
      <c r="H2" s="34" t="s">
        <v>1070</v>
      </c>
      <c r="I2" s="34" t="s">
        <v>1071</v>
      </c>
      <c r="J2" s="34" t="s">
        <v>1072</v>
      </c>
      <c r="K2" s="34" t="s">
        <v>1073</v>
      </c>
    </row>
    <row r="3" spans="1:13">
      <c r="A3" s="258" t="s">
        <v>512</v>
      </c>
      <c r="B3" s="16" t="s">
        <v>513</v>
      </c>
      <c r="C3" s="258" t="s">
        <v>490</v>
      </c>
      <c r="D3" s="258" t="s">
        <v>1732</v>
      </c>
      <c r="E3" s="258" t="s">
        <v>23</v>
      </c>
      <c r="F3" s="258" t="s">
        <v>1459</v>
      </c>
      <c r="G3" s="16" t="s">
        <v>24</v>
      </c>
      <c r="H3" s="31" t="s">
        <v>1285</v>
      </c>
      <c r="I3" s="16" t="s">
        <v>1079</v>
      </c>
      <c r="J3" s="16">
        <v>32</v>
      </c>
      <c r="K3" s="16" t="s">
        <v>1733</v>
      </c>
      <c r="M3" s="13" t="str">
        <f>"COMMENT ON COLUMN PG_SILVER."&amp;G3&amp;"."&amp;H3&amp;" IS '"&amp;K3&amp;"';"</f>
        <v>COMMENT ON COLUMN PG_SILVER.CST.CST_ID IS 'Unique key trên DWH';</v>
      </c>
    </row>
    <row r="4" spans="1:13">
      <c r="A4" s="258" t="s">
        <v>512</v>
      </c>
      <c r="B4" s="16" t="s">
        <v>513</v>
      </c>
      <c r="C4" s="258" t="s">
        <v>490</v>
      </c>
      <c r="D4" s="258" t="s">
        <v>1128</v>
      </c>
      <c r="E4" s="258" t="s">
        <v>23</v>
      </c>
      <c r="F4" s="258" t="s">
        <v>847</v>
      </c>
      <c r="G4" s="16" t="s">
        <v>24</v>
      </c>
      <c r="H4" s="31" t="s">
        <v>253</v>
      </c>
      <c r="I4" s="16" t="s">
        <v>1327</v>
      </c>
      <c r="J4" s="16">
        <v>20</v>
      </c>
      <c r="K4" s="16" t="s">
        <v>846</v>
      </c>
      <c r="M4" s="13" t="str">
        <f>"COMMENT ON COLUMN PG_SILVER."&amp;G4&amp;"."&amp;H4&amp;" IS '"&amp;K4&amp;"';"</f>
        <v>COMMENT ON COLUMN PG_SILVER.CST.CST_CODE IS 'Mã CIF';</v>
      </c>
    </row>
    <row r="5" spans="1:13">
      <c r="A5" s="16" t="s">
        <v>512</v>
      </c>
      <c r="B5" s="16" t="s">
        <v>513</v>
      </c>
      <c r="C5" s="24" t="s">
        <v>551</v>
      </c>
      <c r="D5" s="258" t="s">
        <v>1128</v>
      </c>
      <c r="E5" s="258" t="s">
        <v>23</v>
      </c>
      <c r="F5" s="258" t="s">
        <v>810</v>
      </c>
      <c r="G5" s="16" t="s">
        <v>24</v>
      </c>
      <c r="H5" s="31" t="s">
        <v>1374</v>
      </c>
      <c r="I5" s="16" t="s">
        <v>1327</v>
      </c>
      <c r="J5" s="16">
        <v>20</v>
      </c>
      <c r="K5" s="16" t="s">
        <v>809</v>
      </c>
      <c r="M5" s="13" t="str">
        <f>"COMMENT ON COLUMN PG_SILVER."&amp;G5&amp;"."&amp;H5&amp;" IS '"&amp;K5&amp;"';"</f>
        <v>COMMENT ON COLUMN PG_SILVER.CST.CST_GRP_CODE IS 'mã Khối quản lý khách hàng';</v>
      </c>
    </row>
    <row r="6" spans="1:13">
      <c r="A6" s="16" t="s">
        <v>512</v>
      </c>
      <c r="B6" s="16" t="s">
        <v>513</v>
      </c>
      <c r="C6" s="24" t="s">
        <v>570</v>
      </c>
      <c r="D6" s="258" t="s">
        <v>1128</v>
      </c>
      <c r="E6" s="258" t="s">
        <v>23</v>
      </c>
      <c r="F6" s="258" t="s">
        <v>843</v>
      </c>
      <c r="G6" s="16" t="s">
        <v>24</v>
      </c>
      <c r="H6" s="31" t="s">
        <v>1332</v>
      </c>
      <c r="I6" s="16" t="s">
        <v>1327</v>
      </c>
      <c r="J6" s="16">
        <v>20</v>
      </c>
      <c r="K6" s="16" t="s">
        <v>842</v>
      </c>
      <c r="M6" s="13" t="str">
        <f>"COMMENT ON COLUMN PG_SILVER."&amp;G6&amp;"."&amp;H6&amp;" IS '"&amp;K6&amp;"';"</f>
        <v>COMMENT ON COLUMN PG_SILVER.CST.FRST_OU_CODE IS 'Chi nhánh mở';</v>
      </c>
    </row>
    <row r="7" spans="1:13">
      <c r="A7" s="16" t="s">
        <v>512</v>
      </c>
      <c r="B7" s="16" t="s">
        <v>513</v>
      </c>
      <c r="C7" s="24" t="s">
        <v>787</v>
      </c>
      <c r="D7" s="258" t="s">
        <v>1128</v>
      </c>
      <c r="E7" s="258" t="s">
        <v>23</v>
      </c>
      <c r="F7" s="258" t="s">
        <v>750</v>
      </c>
      <c r="G7" s="16" t="s">
        <v>24</v>
      </c>
      <c r="H7" s="31" t="s">
        <v>1358</v>
      </c>
      <c r="I7" s="16" t="s">
        <v>1327</v>
      </c>
      <c r="J7" s="16">
        <v>20</v>
      </c>
      <c r="K7" s="16" t="s">
        <v>788</v>
      </c>
      <c r="M7" s="13" t="str">
        <f>"COMMENT ON COLUMN PG_SILVER."&amp;G7&amp;"."&amp;H7&amp;" IS '"&amp;K7&amp;"';"</f>
        <v>COMMENT ON COLUMN PG_SILVER.CST.OU_CODE IS 'Mã chi nhánh mở CIF';</v>
      </c>
    </row>
    <row r="8" spans="1:13">
      <c r="A8" s="16" t="s">
        <v>512</v>
      </c>
      <c r="B8" s="16" t="s">
        <v>513</v>
      </c>
      <c r="C8" s="24" t="s">
        <v>529</v>
      </c>
      <c r="D8" s="258" t="s">
        <v>1128</v>
      </c>
      <c r="E8" s="258" t="s">
        <v>23</v>
      </c>
      <c r="F8" s="258" t="s">
        <v>1734</v>
      </c>
      <c r="G8" s="16" t="s">
        <v>24</v>
      </c>
      <c r="H8" s="31" t="s">
        <v>1376</v>
      </c>
      <c r="I8" s="16" t="s">
        <v>1327</v>
      </c>
      <c r="J8" s="16">
        <v>20</v>
      </c>
      <c r="K8" s="16" t="s">
        <v>771</v>
      </c>
      <c r="M8" s="13" t="str">
        <f>"COMMENT ON COLUMN PG_SILVER."&amp;G8&amp;"."&amp;H8&amp;" IS '"&amp;K8&amp;"';"</f>
        <v>COMMENT ON COLUMN PG_SILVER.CST.MAKER_OFCR_CODE IS 'Mã nhân viên hạch toán';</v>
      </c>
    </row>
    <row r="9" spans="1:13">
      <c r="A9" s="16" t="s">
        <v>512</v>
      </c>
      <c r="B9" s="16" t="s">
        <v>513</v>
      </c>
      <c r="C9" s="24" t="s">
        <v>577</v>
      </c>
      <c r="D9" s="258" t="s">
        <v>1128</v>
      </c>
      <c r="E9" s="258" t="s">
        <v>23</v>
      </c>
      <c r="F9" s="258" t="s">
        <v>1735</v>
      </c>
      <c r="G9" s="16" t="s">
        <v>24</v>
      </c>
      <c r="H9" s="31" t="s">
        <v>1352</v>
      </c>
      <c r="I9" s="16" t="s">
        <v>1327</v>
      </c>
      <c r="J9" s="16">
        <v>20</v>
      </c>
      <c r="K9" s="16" t="s">
        <v>853</v>
      </c>
      <c r="M9" s="13" t="str">
        <f>"COMMENT ON COLUMN PG_SILVER."&amp;G9&amp;"."&amp;H9&amp;" IS '"&amp;K9&amp;"';"</f>
        <v>COMMENT ON COLUMN PG_SILVER.CST.CHKER_OFCR_CODE IS 'Mã nhân viên hạch toán thứ 2';</v>
      </c>
    </row>
    <row r="10" spans="1:13">
      <c r="A10" s="16" t="s">
        <v>512</v>
      </c>
      <c r="B10" s="16" t="s">
        <v>513</v>
      </c>
      <c r="C10" s="24" t="s">
        <v>574</v>
      </c>
      <c r="D10" s="258" t="s">
        <v>1128</v>
      </c>
      <c r="E10" s="258" t="s">
        <v>23</v>
      </c>
      <c r="F10" s="258" t="s">
        <v>849</v>
      </c>
      <c r="G10" s="16" t="s">
        <v>24</v>
      </c>
      <c r="H10" s="31" t="s">
        <v>1422</v>
      </c>
      <c r="I10" s="16" t="s">
        <v>1327</v>
      </c>
      <c r="J10" s="16">
        <v>40</v>
      </c>
      <c r="K10" s="16" t="s">
        <v>848</v>
      </c>
      <c r="M10" s="13" t="str">
        <f>"COMMENT ON COLUMN PG_SILVER."&amp;G10&amp;"."&amp;H10&amp;" IS '"&amp;K10&amp;"';"</f>
        <v>COMMENT ON COLUMN PG_SILVER.CST.REFR_CODE IS 'Mã người tham chiếu/giới thiệu';</v>
      </c>
    </row>
    <row r="11" spans="1:13">
      <c r="A11" s="16" t="s">
        <v>512</v>
      </c>
      <c r="B11" s="16" t="s">
        <v>513</v>
      </c>
      <c r="C11" s="24" t="s">
        <v>579</v>
      </c>
      <c r="D11" s="258" t="s">
        <v>1128</v>
      </c>
      <c r="E11" s="258" t="s">
        <v>23</v>
      </c>
      <c r="F11" s="258" t="s">
        <v>856</v>
      </c>
      <c r="G11" s="16" t="s">
        <v>24</v>
      </c>
      <c r="H11" s="31" t="s">
        <v>275</v>
      </c>
      <c r="I11" s="16" t="s">
        <v>1327</v>
      </c>
      <c r="J11" s="16">
        <v>40</v>
      </c>
      <c r="K11" s="16" t="s">
        <v>855</v>
      </c>
      <c r="M11" s="13" t="str">
        <f>"COMMENT ON COLUMN PG_SILVER."&amp;G11&amp;"."&amp;H11&amp;" IS '"&amp;K11&amp;"';"</f>
        <v>COMMENT ON COLUMN PG_SILVER.CST.SCTR_CODE IS 'Mã phân loại hình khách hàng';</v>
      </c>
    </row>
    <row r="12" spans="1:13">
      <c r="A12" s="16" t="s">
        <v>512</v>
      </c>
      <c r="B12" s="16" t="s">
        <v>513</v>
      </c>
      <c r="C12" s="24" t="s">
        <v>580</v>
      </c>
      <c r="D12" s="258" t="s">
        <v>1128</v>
      </c>
      <c r="E12" s="258" t="s">
        <v>23</v>
      </c>
      <c r="F12" s="258" t="s">
        <v>858</v>
      </c>
      <c r="G12" s="16" t="s">
        <v>24</v>
      </c>
      <c r="H12" s="31" t="s">
        <v>1369</v>
      </c>
      <c r="I12" s="16" t="s">
        <v>1327</v>
      </c>
      <c r="J12" s="16">
        <v>255</v>
      </c>
      <c r="K12" s="16" t="s">
        <v>857</v>
      </c>
      <c r="M12" s="13" t="str">
        <f>"COMMENT ON COLUMN PG_SILVER."&amp;G12&amp;"."&amp;H12&amp;" IS '"&amp;K12&amp;"';"</f>
        <v>COMMENT ON COLUMN PG_SILVER.CST.SHRT_NM IS 'Tên viết tắt khách hàng';</v>
      </c>
    </row>
    <row r="13" spans="1:13">
      <c r="A13" s="16" t="s">
        <v>512</v>
      </c>
      <c r="B13" s="16" t="s">
        <v>513</v>
      </c>
      <c r="C13" s="24" t="s">
        <v>587</v>
      </c>
      <c r="D13" s="258" t="s">
        <v>1128</v>
      </c>
      <c r="E13" s="258" t="s">
        <v>23</v>
      </c>
      <c r="F13" s="258" t="s">
        <v>870</v>
      </c>
      <c r="G13" s="16" t="s">
        <v>24</v>
      </c>
      <c r="H13" s="31" t="s">
        <v>1371</v>
      </c>
      <c r="I13" s="16" t="s">
        <v>1327</v>
      </c>
      <c r="J13" s="16">
        <v>255</v>
      </c>
      <c r="K13" s="16" t="s">
        <v>869</v>
      </c>
      <c r="M13" s="13" t="str">
        <f>"COMMENT ON COLUMN PG_SILVER."&amp;G13&amp;"."&amp;H13&amp;" IS '"&amp;K13&amp;"';"</f>
        <v>COMMENT ON COLUMN PG_SILVER.CST.CST_NM IS 'Tên khách hàng đầy đủ';</v>
      </c>
    </row>
    <row r="14" spans="1:13">
      <c r="A14" s="16" t="s">
        <v>512</v>
      </c>
      <c r="B14" s="16" t="s">
        <v>513</v>
      </c>
      <c r="C14" s="24" t="s">
        <v>789</v>
      </c>
      <c r="D14" s="258" t="s">
        <v>1128</v>
      </c>
      <c r="E14" s="258" t="s">
        <v>23</v>
      </c>
      <c r="F14" s="258" t="s">
        <v>1330</v>
      </c>
      <c r="G14" s="16" t="s">
        <v>24</v>
      </c>
      <c r="H14" s="31" t="s">
        <v>1329</v>
      </c>
      <c r="I14" s="16" t="s">
        <v>519</v>
      </c>
      <c r="J14" s="16"/>
      <c r="K14" s="16" t="s">
        <v>790</v>
      </c>
      <c r="M14" s="13" t="str">
        <f>"COMMENT ON COLUMN PG_SILVER."&amp;G14&amp;"."&amp;H14&amp;" IS '"&amp;K14&amp;"';"</f>
        <v>COMMENT ON COLUMN PG_SILVER.CST.OPN_DT IS 'Ngày khách hàng liên hệ/mở CIF';</v>
      </c>
    </row>
    <row r="15" spans="1:13">
      <c r="A15" s="16"/>
      <c r="B15" s="16"/>
      <c r="C15" s="16"/>
      <c r="D15" s="16" t="s">
        <v>1736</v>
      </c>
      <c r="E15" s="258" t="s">
        <v>23</v>
      </c>
      <c r="F15" s="16" t="s">
        <v>1290</v>
      </c>
      <c r="G15" s="16" t="s">
        <v>24</v>
      </c>
      <c r="H15" s="16" t="s">
        <v>1291</v>
      </c>
      <c r="I15" s="16" t="s">
        <v>519</v>
      </c>
      <c r="J15" s="16"/>
      <c r="K15" s="16" t="s">
        <v>1292</v>
      </c>
      <c r="M15" s="13" t="str">
        <f>"COMMENT ON COLUMN PG_SILVER."&amp;G15&amp;"."&amp;H15&amp;" IS '"&amp;K15&amp;"';"</f>
        <v>COMMENT ON COLUMN PG_SILVER.CST.SYS_EFF_DT IS 'Ngày bản ghi lần đầu tiên vào hệ thống';</v>
      </c>
    </row>
    <row r="16" spans="1:13">
      <c r="A16" s="16"/>
      <c r="B16" s="16"/>
      <c r="C16" s="16"/>
      <c r="D16" s="16" t="s">
        <v>1293</v>
      </c>
      <c r="E16" s="258" t="s">
        <v>23</v>
      </c>
      <c r="F16" s="16" t="s">
        <v>1294</v>
      </c>
      <c r="G16" s="16" t="s">
        <v>24</v>
      </c>
      <c r="H16" s="16" t="s">
        <v>1295</v>
      </c>
      <c r="I16" s="16" t="s">
        <v>519</v>
      </c>
      <c r="J16" s="16"/>
      <c r="K16" s="16" t="s">
        <v>1296</v>
      </c>
      <c r="M16" s="13" t="str">
        <f>"COMMENT ON COLUMN PG_SILVER."&amp;G16&amp;"."&amp;H16&amp;" IS '"&amp;K16&amp;"';"</f>
        <v>COMMENT ON COLUMN PG_SILVER.CST.SYS_EXP_DT IS 'Ngày hết hạn của bản ghi';</v>
      </c>
    </row>
    <row r="17" spans="1:13">
      <c r="A17" s="16"/>
      <c r="B17" s="16"/>
      <c r="C17" s="16"/>
      <c r="D17" s="16" t="s">
        <v>1297</v>
      </c>
      <c r="E17" s="258" t="s">
        <v>23</v>
      </c>
      <c r="F17" s="16" t="s">
        <v>1298</v>
      </c>
      <c r="G17" s="16" t="s">
        <v>24</v>
      </c>
      <c r="H17" s="16" t="s">
        <v>1299</v>
      </c>
      <c r="I17" s="16" t="s">
        <v>519</v>
      </c>
      <c r="J17" s="16"/>
      <c r="K17" s="16" t="s">
        <v>1300</v>
      </c>
      <c r="M17" s="13" t="str">
        <f>"COMMENT ON COLUMN PG_SILVER."&amp;G17&amp;"."&amp;H17&amp;" IS '"&amp;K17&amp;"';"</f>
        <v>COMMENT ON COLUMN PG_SILVER.CST.SYS_UDT_DT IS 'Ngày update dữ liệu gần nhất';</v>
      </c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20" spans="1:13">
      <c r="D20" s="13" t="s">
        <v>1423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61"/>
  <sheetViews>
    <sheetView workbookViewId="0">
      <selection activeCell="C3" sqref="C3"/>
    </sheetView>
  </sheetViews>
  <sheetFormatPr defaultColWidth="14.42578125" defaultRowHeight="15" customHeight="1"/>
  <cols>
    <col min="1" max="1" width="11.5703125" style="259" customWidth="1"/>
    <col min="2" max="2" width="16.28515625" style="259" customWidth="1"/>
    <col min="3" max="3" width="29.7109375" style="259" customWidth="1"/>
    <col min="4" max="4" width="89.28515625" style="259" customWidth="1"/>
    <col min="5" max="5" width="14.7109375" style="259" customWidth="1"/>
    <col min="6" max="6" width="23.7109375" style="259" customWidth="1"/>
    <col min="7" max="7" width="30.28515625" style="259" customWidth="1"/>
    <col min="8" max="8" width="31.5703125" style="259" customWidth="1"/>
    <col min="9" max="9" width="17.42578125" style="259" customWidth="1"/>
    <col min="10" max="10" width="10.140625" style="259" customWidth="1"/>
    <col min="11" max="11" width="48.42578125" style="259" customWidth="1"/>
    <col min="12" max="12" width="20.85546875" style="259" customWidth="1"/>
  </cols>
  <sheetData>
    <row r="1" spans="1:13">
      <c r="A1" s="34" t="s">
        <v>1737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6" t="s">
        <v>1116</v>
      </c>
      <c r="B2" s="37" t="s">
        <v>1117</v>
      </c>
      <c r="C2" s="39" t="s">
        <v>1118</v>
      </c>
      <c r="D2" s="39" t="s">
        <v>1119</v>
      </c>
      <c r="E2" s="39" t="s">
        <v>1120</v>
      </c>
      <c r="F2" s="39" t="s">
        <v>1121</v>
      </c>
      <c r="G2" s="39" t="s">
        <v>1122</v>
      </c>
      <c r="H2" s="39" t="s">
        <v>1123</v>
      </c>
      <c r="I2" s="218" t="s">
        <v>1207</v>
      </c>
      <c r="J2" s="29"/>
      <c r="K2" s="29"/>
      <c r="M2" s="58"/>
    </row>
    <row r="3" spans="1:13" ht="72.75" customHeight="1">
      <c r="A3" s="219">
        <v>1</v>
      </c>
      <c r="B3" s="220" t="s">
        <v>1208</v>
      </c>
      <c r="C3" s="221" t="s">
        <v>1209</v>
      </c>
      <c r="D3" s="222" t="s">
        <v>1210</v>
      </c>
      <c r="E3" s="222" t="s">
        <v>1211</v>
      </c>
      <c r="F3" s="223"/>
      <c r="G3" s="223"/>
      <c r="H3" s="311" t="s">
        <v>1738</v>
      </c>
      <c r="I3" s="283" t="s">
        <v>1739</v>
      </c>
      <c r="J3" s="29"/>
      <c r="K3" s="29"/>
      <c r="M3" s="58"/>
    </row>
    <row r="4" spans="1:13" ht="38.25" customHeight="1">
      <c r="A4" s="60">
        <v>2</v>
      </c>
      <c r="B4" s="121" t="s">
        <v>1208</v>
      </c>
      <c r="C4" s="121" t="s">
        <v>1215</v>
      </c>
      <c r="D4" s="311" t="s">
        <v>1216</v>
      </c>
      <c r="E4" s="311" t="s">
        <v>1217</v>
      </c>
      <c r="F4" s="312" t="s">
        <v>1218</v>
      </c>
      <c r="G4" s="312" t="s">
        <v>1219</v>
      </c>
      <c r="H4" s="311" t="s">
        <v>1220</v>
      </c>
      <c r="I4" s="311" t="s">
        <v>1740</v>
      </c>
      <c r="J4" s="29"/>
      <c r="K4" s="29"/>
      <c r="M4" s="58"/>
    </row>
    <row r="5" spans="1:13" ht="38.25" customHeight="1">
      <c r="A5" s="219">
        <v>3</v>
      </c>
      <c r="B5" s="121" t="s">
        <v>1208</v>
      </c>
      <c r="C5" s="224" t="s">
        <v>1222</v>
      </c>
      <c r="D5" s="222" t="s">
        <v>1741</v>
      </c>
      <c r="E5" s="222" t="s">
        <v>1217</v>
      </c>
      <c r="F5" s="223" t="s">
        <v>1218</v>
      </c>
      <c r="G5" s="223" t="s">
        <v>1742</v>
      </c>
      <c r="H5" s="222" t="s">
        <v>1743</v>
      </c>
      <c r="I5" s="311" t="s">
        <v>1740</v>
      </c>
      <c r="J5" s="29"/>
      <c r="K5" s="29"/>
      <c r="M5" s="58"/>
    </row>
    <row r="6" spans="1:13">
      <c r="A6" s="225"/>
      <c r="B6" s="226"/>
      <c r="C6" s="224"/>
      <c r="D6" s="57"/>
      <c r="E6" s="57"/>
      <c r="F6" s="57"/>
      <c r="G6" s="57"/>
      <c r="H6" s="227"/>
      <c r="I6" s="29"/>
      <c r="J6" s="29"/>
      <c r="K6" s="29"/>
      <c r="M6" s="58"/>
    </row>
    <row r="7" spans="1:13">
      <c r="A7" s="34" t="s">
        <v>1058</v>
      </c>
      <c r="B7" s="34" t="s">
        <v>1059</v>
      </c>
      <c r="C7" s="34" t="s">
        <v>1065</v>
      </c>
      <c r="D7" s="34" t="s">
        <v>1066</v>
      </c>
      <c r="E7" s="34" t="s">
        <v>1067</v>
      </c>
      <c r="F7" s="34" t="s">
        <v>1068</v>
      </c>
      <c r="G7" s="34" t="s">
        <v>1069</v>
      </c>
      <c r="H7" s="34" t="s">
        <v>1070</v>
      </c>
      <c r="I7" s="34" t="s">
        <v>1071</v>
      </c>
      <c r="J7" s="34" t="s">
        <v>1072</v>
      </c>
      <c r="K7" s="34" t="s">
        <v>1073</v>
      </c>
    </row>
    <row r="8" spans="1:13">
      <c r="A8" s="258" t="s">
        <v>512</v>
      </c>
      <c r="B8" s="16" t="s">
        <v>643</v>
      </c>
      <c r="C8" s="258" t="s">
        <v>490</v>
      </c>
      <c r="D8" s="258" t="s">
        <v>1744</v>
      </c>
      <c r="E8" s="258" t="s">
        <v>184</v>
      </c>
      <c r="F8" s="258" t="s">
        <v>1745</v>
      </c>
      <c r="G8" s="146" t="s">
        <v>185</v>
      </c>
      <c r="H8" s="32" t="s">
        <v>1746</v>
      </c>
      <c r="I8" s="16" t="s">
        <v>1079</v>
      </c>
      <c r="J8" s="16">
        <v>32</v>
      </c>
      <c r="K8" s="16" t="s">
        <v>1747</v>
      </c>
      <c r="L8" s="126"/>
      <c r="M8" s="13" t="str">
        <f>"COMMENT ON COLUMN PG_SILVER."&amp;G8&amp;"."&amp;H8&amp;" IS '"&amp;K8&amp;"';"</f>
        <v>COMMENT ON COLUMN PG_SILVER.PST_ENTR.PST_ENTR_ID IS 'ID duy nhất của đối tượng trên DWH';</v>
      </c>
    </row>
    <row r="9" spans="1:13">
      <c r="A9" s="258" t="s">
        <v>512</v>
      </c>
      <c r="B9" s="16" t="s">
        <v>643</v>
      </c>
      <c r="C9" s="258"/>
      <c r="D9" s="228" t="s">
        <v>1748</v>
      </c>
      <c r="E9" s="258" t="s">
        <v>184</v>
      </c>
      <c r="F9" s="258" t="s">
        <v>1093</v>
      </c>
      <c r="G9" s="146" t="s">
        <v>185</v>
      </c>
      <c r="H9" s="32" t="s">
        <v>316</v>
      </c>
      <c r="I9" s="16" t="s">
        <v>1327</v>
      </c>
      <c r="J9" s="16">
        <v>40</v>
      </c>
      <c r="K9" s="258" t="s">
        <v>1094</v>
      </c>
      <c r="L9" s="126"/>
      <c r="M9" s="13" t="str">
        <f>"COMMENT ON COLUMN PG_SILVER."&amp;G9&amp;"."&amp;H9&amp;" IS '"&amp;K9&amp;"';"</f>
        <v>COMMENT ON COLUMN PG_SILVER.PST_ENTR.SRC_STM_CODE IS 'Mã nguồn dữ liệu';</v>
      </c>
    </row>
    <row r="10" spans="1:13">
      <c r="A10" s="258" t="s">
        <v>512</v>
      </c>
      <c r="B10" s="16" t="s">
        <v>643</v>
      </c>
      <c r="C10" s="258" t="s">
        <v>490</v>
      </c>
      <c r="D10" s="258" t="s">
        <v>1128</v>
      </c>
      <c r="E10" s="258" t="s">
        <v>184</v>
      </c>
      <c r="F10" s="27" t="s">
        <v>984</v>
      </c>
      <c r="G10" s="146" t="s">
        <v>185</v>
      </c>
      <c r="H10" s="285" t="s">
        <v>1749</v>
      </c>
      <c r="I10" s="16" t="s">
        <v>1327</v>
      </c>
      <c r="J10" s="16">
        <v>32</v>
      </c>
      <c r="K10" s="151" t="s">
        <v>1750</v>
      </c>
      <c r="L10" s="126"/>
      <c r="M10" s="13" t="str">
        <f>"COMMENT ON COLUMN PG_SILVER."&amp;G10&amp;"."&amp;H10&amp;" IS '"&amp;K10&amp;"';"</f>
        <v>COMMENT ON COLUMN PG_SILVER.PST_ENTR.PST_ENTR_NBR IS 'Mã bút toán hạch toán';</v>
      </c>
    </row>
    <row r="11" spans="1:13" ht="27" customHeight="1">
      <c r="A11" s="258" t="s">
        <v>512</v>
      </c>
      <c r="B11" s="16" t="s">
        <v>643</v>
      </c>
      <c r="C11" s="258" t="s">
        <v>484</v>
      </c>
      <c r="D11" s="258" t="s">
        <v>1751</v>
      </c>
      <c r="E11" s="258" t="s">
        <v>184</v>
      </c>
      <c r="F11" s="27" t="s">
        <v>1752</v>
      </c>
      <c r="G11" s="146" t="s">
        <v>185</v>
      </c>
      <c r="H11" s="32" t="s">
        <v>1753</v>
      </c>
      <c r="I11" s="16" t="s">
        <v>1079</v>
      </c>
      <c r="J11" s="16">
        <v>32</v>
      </c>
      <c r="K11" s="151" t="s">
        <v>1754</v>
      </c>
      <c r="L11" s="126"/>
      <c r="M11" s="13" t="str">
        <f>"COMMENT ON COLUMN PG_SILVER."&amp;G11&amp;"."&amp;H11&amp;" IS '"&amp;K11&amp;"';"</f>
        <v>COMMENT ON COLUMN PG_SILVER.PST_ENTR.TXN_ID IS 'ID của giao dịch của bút toán trên DWH';</v>
      </c>
    </row>
    <row r="12" spans="1:13">
      <c r="A12" s="258" t="s">
        <v>512</v>
      </c>
      <c r="B12" s="16" t="s">
        <v>643</v>
      </c>
      <c r="C12" s="258" t="s">
        <v>484</v>
      </c>
      <c r="D12" s="258" t="s">
        <v>1128</v>
      </c>
      <c r="E12" s="258" t="s">
        <v>184</v>
      </c>
      <c r="F12" s="27" t="s">
        <v>982</v>
      </c>
      <c r="G12" s="146" t="s">
        <v>185</v>
      </c>
      <c r="H12" s="32" t="s">
        <v>1755</v>
      </c>
      <c r="I12" s="16" t="s">
        <v>1327</v>
      </c>
      <c r="J12" s="16">
        <v>20</v>
      </c>
      <c r="K12" s="151" t="s">
        <v>1756</v>
      </c>
      <c r="L12" s="126"/>
      <c r="M12" s="13" t="str">
        <f>"COMMENT ON COLUMN PG_SILVER."&amp;G12&amp;"."&amp;H12&amp;" IS '"&amp;K12&amp;"';"</f>
        <v>COMMENT ON COLUMN PG_SILVER.PST_ENTR.TXN_NBR IS 'Số giao dịch';</v>
      </c>
    </row>
    <row r="13" spans="1:13">
      <c r="A13" s="258" t="s">
        <v>512</v>
      </c>
      <c r="B13" s="16" t="s">
        <v>643</v>
      </c>
      <c r="C13" s="258" t="s">
        <v>467</v>
      </c>
      <c r="D13" s="258" t="s">
        <v>1128</v>
      </c>
      <c r="E13" s="126" t="s">
        <v>184</v>
      </c>
      <c r="F13" s="13" t="s">
        <v>1002</v>
      </c>
      <c r="G13" s="146" t="s">
        <v>185</v>
      </c>
      <c r="H13" s="32" t="s">
        <v>1757</v>
      </c>
      <c r="I13" s="16" t="s">
        <v>1327</v>
      </c>
      <c r="J13" s="16">
        <v>20</v>
      </c>
      <c r="K13" s="151" t="s">
        <v>1001</v>
      </c>
      <c r="L13" s="126"/>
      <c r="M13" s="13" t="str">
        <f>"COMMENT ON COLUMN PG_SILVER."&amp;G13&amp;"."&amp;H13&amp;" IS '"&amp;K13&amp;"';"</f>
        <v>COMMENT ON COLUMN PG_SILVER.PST_ENTR.ACG_CR_DB_F IS 'Cờ đánh dấu ghi nợ/ghi có';</v>
      </c>
    </row>
    <row r="14" spans="1:13">
      <c r="A14" s="258" t="s">
        <v>512</v>
      </c>
      <c r="B14" s="16" t="s">
        <v>643</v>
      </c>
      <c r="C14" s="258" t="s">
        <v>502</v>
      </c>
      <c r="D14" s="258" t="s">
        <v>1128</v>
      </c>
      <c r="E14" s="258" t="s">
        <v>184</v>
      </c>
      <c r="F14" s="27" t="s">
        <v>1758</v>
      </c>
      <c r="G14" s="146" t="s">
        <v>185</v>
      </c>
      <c r="H14" s="32" t="s">
        <v>1759</v>
      </c>
      <c r="I14" s="16" t="s">
        <v>1327</v>
      </c>
      <c r="J14" s="16">
        <v>20</v>
      </c>
      <c r="K14" s="151" t="s">
        <v>1760</v>
      </c>
      <c r="L14" s="126"/>
      <c r="M14" s="13" t="str">
        <f>"COMMENT ON COLUMN PG_SILVER."&amp;G14&amp;"."&amp;H14&amp;" IS '"&amp;K14&amp;"';"</f>
        <v>COMMENT ON COLUMN PG_SILVER.PST_ENTR.TXN_CODE IS 'Phân loại mã giao dịch';</v>
      </c>
    </row>
    <row r="15" spans="1:13">
      <c r="A15" s="258" t="s">
        <v>512</v>
      </c>
      <c r="B15" s="16" t="s">
        <v>643</v>
      </c>
      <c r="C15" s="258" t="s">
        <v>420</v>
      </c>
      <c r="D15" s="258" t="s">
        <v>1128</v>
      </c>
      <c r="E15" s="258" t="s">
        <v>184</v>
      </c>
      <c r="F15" s="258" t="s">
        <v>979</v>
      </c>
      <c r="G15" s="146" t="s">
        <v>185</v>
      </c>
      <c r="H15" s="32" t="s">
        <v>1761</v>
      </c>
      <c r="I15" s="16" t="s">
        <v>519</v>
      </c>
      <c r="J15" s="16">
        <v>20</v>
      </c>
      <c r="K15" s="151" t="s">
        <v>1762</v>
      </c>
      <c r="L15" s="126"/>
      <c r="M15" s="13" t="str">
        <f>"COMMENT ON COLUMN PG_SILVER."&amp;G15&amp;"."&amp;H15&amp;" IS '"&amp;K15&amp;"';"</f>
        <v>COMMENT ON COLUMN PG_SILVER.PST_ENTR.PST_DT IS 'Ngày phát sinh bút toán';</v>
      </c>
    </row>
    <row r="16" spans="1:13">
      <c r="A16" s="258" t="s">
        <v>512</v>
      </c>
      <c r="B16" s="16" t="s">
        <v>643</v>
      </c>
      <c r="C16" s="258" t="s">
        <v>456</v>
      </c>
      <c r="D16" s="258" t="s">
        <v>1763</v>
      </c>
      <c r="E16" s="258" t="s">
        <v>184</v>
      </c>
      <c r="F16" s="27" t="s">
        <v>977</v>
      </c>
      <c r="G16" s="146" t="s">
        <v>185</v>
      </c>
      <c r="H16" s="311" t="s">
        <v>1764</v>
      </c>
      <c r="I16" s="16" t="s">
        <v>1106</v>
      </c>
      <c r="J16" s="16">
        <v>25.5</v>
      </c>
      <c r="K16" s="151" t="s">
        <v>1765</v>
      </c>
      <c r="L16" s="126"/>
      <c r="M16" s="13" t="str">
        <f>"COMMENT ON COLUMN PG_SILVER."&amp;G16&amp;"."&amp;H16&amp;" IS '"&amp;K16&amp;"';"</f>
        <v>COMMENT ON COLUMN PG_SILVER.PST_ENTR.PST_ENTR_AMT_FCY IS 'Số tiền của bút toán nguyên tệ';</v>
      </c>
    </row>
    <row r="17" spans="1:13">
      <c r="A17" s="258" t="s">
        <v>512</v>
      </c>
      <c r="B17" s="16" t="s">
        <v>643</v>
      </c>
      <c r="C17" s="258" t="s">
        <v>457</v>
      </c>
      <c r="D17" s="258" t="s">
        <v>1766</v>
      </c>
      <c r="E17" s="258" t="s">
        <v>184</v>
      </c>
      <c r="F17" s="27" t="s">
        <v>975</v>
      </c>
      <c r="G17" s="146" t="s">
        <v>185</v>
      </c>
      <c r="H17" s="311" t="s">
        <v>1767</v>
      </c>
      <c r="I17" s="16" t="s">
        <v>1106</v>
      </c>
      <c r="J17" s="16">
        <v>25.5</v>
      </c>
      <c r="K17" s="151" t="s">
        <v>1768</v>
      </c>
      <c r="L17" s="126"/>
      <c r="M17" s="13" t="str">
        <f>"COMMENT ON COLUMN PG_SILVER."&amp;G17&amp;"."&amp;H17&amp;" IS '"&amp;K17&amp;"';"</f>
        <v>COMMENT ON COLUMN PG_SILVER.PST_ENTR.PST_ENTR_AMT_LCY IS 'Số tiền của bút toán quy đổi';</v>
      </c>
    </row>
    <row r="18" spans="1:13">
      <c r="A18" s="258" t="s">
        <v>512</v>
      </c>
      <c r="B18" s="16" t="s">
        <v>643</v>
      </c>
      <c r="C18" s="26" t="s">
        <v>469</v>
      </c>
      <c r="D18" s="258" t="s">
        <v>1128</v>
      </c>
      <c r="E18" s="258" t="s">
        <v>184</v>
      </c>
      <c r="F18" s="27" t="s">
        <v>752</v>
      </c>
      <c r="G18" s="146" t="s">
        <v>185</v>
      </c>
      <c r="H18" s="311" t="s">
        <v>281</v>
      </c>
      <c r="I18" s="16" t="s">
        <v>1423</v>
      </c>
      <c r="J18" s="16">
        <v>20</v>
      </c>
      <c r="K18" s="151" t="s">
        <v>936</v>
      </c>
      <c r="L18" s="126"/>
      <c r="M18" s="13" t="str">
        <f>"COMMENT ON COLUMN PG_SILVER."&amp;G18&amp;"."&amp;H18&amp;" IS '"&amp;K18&amp;"';"</f>
        <v>COMMENT ON COLUMN PG_SILVER.PST_ENTR.CCY_CODE IS 'Mã loại tiền';</v>
      </c>
    </row>
    <row r="19" spans="1:13">
      <c r="A19" s="258" t="s">
        <v>512</v>
      </c>
      <c r="B19" s="16" t="s">
        <v>643</v>
      </c>
      <c r="C19" s="26" t="s">
        <v>504</v>
      </c>
      <c r="D19" s="16" t="s">
        <v>1128</v>
      </c>
      <c r="E19" s="258" t="s">
        <v>184</v>
      </c>
      <c r="F19" s="27" t="s">
        <v>919</v>
      </c>
      <c r="G19" s="146" t="s">
        <v>185</v>
      </c>
      <c r="H19" s="311" t="s">
        <v>1533</v>
      </c>
      <c r="I19" s="16" t="s">
        <v>519</v>
      </c>
      <c r="J19" s="16"/>
      <c r="K19" s="151" t="s">
        <v>1769</v>
      </c>
      <c r="L19" s="126"/>
      <c r="M19" s="13" t="str">
        <f>"COMMENT ON COLUMN PG_SILVER."&amp;G19&amp;"."&amp;H19&amp;" IS '"&amp;K19&amp;"';"</f>
        <v>COMMENT ON COLUMN PG_SILVER.PST_ENTR.VAL_DT IS 'Ngày hiệu lực của bút toán';</v>
      </c>
    </row>
    <row r="20" spans="1:13">
      <c r="A20" s="258" t="s">
        <v>512</v>
      </c>
      <c r="B20" s="16" t="s">
        <v>643</v>
      </c>
      <c r="C20" s="26" t="s">
        <v>475</v>
      </c>
      <c r="D20" s="258" t="s">
        <v>1128</v>
      </c>
      <c r="E20" s="258" t="s">
        <v>184</v>
      </c>
      <c r="F20" s="27" t="s">
        <v>178</v>
      </c>
      <c r="G20" s="146" t="s">
        <v>185</v>
      </c>
      <c r="H20" s="311" t="s">
        <v>179</v>
      </c>
      <c r="I20" s="16" t="s">
        <v>1106</v>
      </c>
      <c r="J20" s="16">
        <v>25.5</v>
      </c>
      <c r="K20" s="151" t="s">
        <v>1263</v>
      </c>
      <c r="L20" s="126"/>
      <c r="M20" s="13" t="str">
        <f>"COMMENT ON COLUMN PG_SILVER."&amp;G20&amp;"."&amp;H20&amp;" IS '"&amp;K20&amp;"';"</f>
        <v>COMMENT ON COLUMN PG_SILVER.PST_ENTR.EXG_RATE IS 'Tỷ giá thực hiện';</v>
      </c>
    </row>
    <row r="21" spans="1:13">
      <c r="A21" s="258" t="s">
        <v>512</v>
      </c>
      <c r="B21" s="16" t="s">
        <v>1770</v>
      </c>
      <c r="C21" s="301" t="s">
        <v>1771</v>
      </c>
      <c r="D21" s="55" t="s">
        <v>1772</v>
      </c>
      <c r="E21" s="258" t="s">
        <v>184</v>
      </c>
      <c r="F21" s="27" t="s">
        <v>750</v>
      </c>
      <c r="G21" s="146" t="s">
        <v>185</v>
      </c>
      <c r="H21" s="311" t="s">
        <v>1358</v>
      </c>
      <c r="I21" s="16" t="s">
        <v>1327</v>
      </c>
      <c r="J21" s="16">
        <v>32</v>
      </c>
      <c r="K21" s="151" t="s">
        <v>1465</v>
      </c>
      <c r="L21" s="126"/>
      <c r="M21" s="13" t="str">
        <f>"COMMENT ON COLUMN PG_SILVER."&amp;G21&amp;"."&amp;H21&amp;" IS '"&amp;K21&amp;"';"</f>
        <v>COMMENT ON COLUMN PG_SILVER.PST_ENTR.OU_CODE IS 'Chi nhánh hạch toán ';</v>
      </c>
    </row>
    <row r="22" spans="1:13">
      <c r="A22" s="258" t="s">
        <v>512</v>
      </c>
      <c r="B22" s="16" t="s">
        <v>643</v>
      </c>
      <c r="C22" s="26" t="s">
        <v>453</v>
      </c>
      <c r="D22" s="258" t="s">
        <v>1128</v>
      </c>
      <c r="E22" s="258" t="s">
        <v>184</v>
      </c>
      <c r="F22" s="16" t="s">
        <v>1000</v>
      </c>
      <c r="G22" s="146" t="s">
        <v>185</v>
      </c>
      <c r="H22" s="311" t="s">
        <v>248</v>
      </c>
      <c r="I22" s="16" t="s">
        <v>1327</v>
      </c>
      <c r="J22" s="16">
        <v>40</v>
      </c>
      <c r="K22" s="258" t="s">
        <v>999</v>
      </c>
      <c r="L22" s="126"/>
      <c r="M22" s="13" t="str">
        <f>"COMMENT ON COLUMN PG_SILVER."&amp;G22&amp;"."&amp;H22&amp;" IS '"&amp;K22&amp;"';"</f>
        <v>COMMENT ON COLUMN PG_SILVER.PST_ENTR.AC_NBR IS 'Số tài khoản liên quan';</v>
      </c>
    </row>
    <row r="23" spans="1:13">
      <c r="A23" s="258" t="s">
        <v>512</v>
      </c>
      <c r="B23" s="16" t="s">
        <v>643</v>
      </c>
      <c r="C23" s="26" t="s">
        <v>484</v>
      </c>
      <c r="D23" s="258" t="s">
        <v>1241</v>
      </c>
      <c r="E23" s="258" t="s">
        <v>184</v>
      </c>
      <c r="F23" s="16" t="s">
        <v>928</v>
      </c>
      <c r="G23" s="146" t="s">
        <v>185</v>
      </c>
      <c r="H23" s="311" t="s">
        <v>1082</v>
      </c>
      <c r="I23" s="16" t="s">
        <v>1327</v>
      </c>
      <c r="J23" s="16">
        <v>40</v>
      </c>
      <c r="K23" s="258" t="s">
        <v>1773</v>
      </c>
      <c r="L23" s="126"/>
      <c r="M23" s="13" t="str">
        <f>"COMMENT ON COLUMN PG_SILVER."&amp;G23&amp;"."&amp;H23&amp;" IS '"&amp;K23&amp;"';"</f>
        <v>COMMENT ON COLUMN PG_SILVER.PST_ENTR.AR_CODE IS 'Số hợp đồng liên quan';</v>
      </c>
    </row>
    <row r="24" spans="1:13">
      <c r="A24" s="258" t="s">
        <v>512</v>
      </c>
      <c r="B24" s="16" t="s">
        <v>643</v>
      </c>
      <c r="C24" s="26" t="s">
        <v>484</v>
      </c>
      <c r="D24" s="258" t="s">
        <v>1242</v>
      </c>
      <c r="E24" s="258" t="s">
        <v>184</v>
      </c>
      <c r="F24" s="16" t="s">
        <v>1243</v>
      </c>
      <c r="G24" s="146" t="s">
        <v>185</v>
      </c>
      <c r="H24" s="311" t="s">
        <v>1078</v>
      </c>
      <c r="I24" s="16" t="s">
        <v>1079</v>
      </c>
      <c r="J24" s="16">
        <v>32</v>
      </c>
      <c r="K24" s="258" t="s">
        <v>1774</v>
      </c>
      <c r="L24" s="126"/>
      <c r="M24" s="13" t="str">
        <f>"COMMENT ON COLUMN PG_SILVER."&amp;G24&amp;"."&amp;H24&amp;" IS '"&amp;K24&amp;"';"</f>
        <v>COMMENT ON COLUMN PG_SILVER.PST_ENTR.AR_ID IS 'ID hợp đồng duy nhất liên quan trên DWH';</v>
      </c>
    </row>
    <row r="25" spans="1:13">
      <c r="A25" s="258" t="s">
        <v>512</v>
      </c>
      <c r="B25" s="16" t="s">
        <v>643</v>
      </c>
      <c r="C25" s="26" t="s">
        <v>470</v>
      </c>
      <c r="D25" s="258" t="s">
        <v>1283</v>
      </c>
      <c r="E25" s="258" t="s">
        <v>184</v>
      </c>
      <c r="F25" s="27" t="s">
        <v>1284</v>
      </c>
      <c r="G25" s="146" t="s">
        <v>185</v>
      </c>
      <c r="H25" s="311" t="s">
        <v>1285</v>
      </c>
      <c r="I25" s="16" t="s">
        <v>1079</v>
      </c>
      <c r="J25" s="16">
        <v>32</v>
      </c>
      <c r="K25" s="258" t="s">
        <v>1286</v>
      </c>
      <c r="L25" s="126"/>
      <c r="M25" s="13" t="str">
        <f>"COMMENT ON COLUMN PG_SILVER."&amp;G25&amp;"."&amp;H25&amp;" IS '"&amp;K25&amp;"';"</f>
        <v>COMMENT ON COLUMN PG_SILVER.PST_ENTR.CST_ID IS 'ID duy nhất của khách hàng liên quan trên DWH';</v>
      </c>
    </row>
    <row r="26" spans="1:13">
      <c r="A26" s="258" t="s">
        <v>512</v>
      </c>
      <c r="B26" s="16" t="s">
        <v>643</v>
      </c>
      <c r="C26" s="26" t="s">
        <v>470</v>
      </c>
      <c r="D26" s="258" t="s">
        <v>1128</v>
      </c>
      <c r="E26" s="258" t="s">
        <v>184</v>
      </c>
      <c r="F26" s="27" t="s">
        <v>1775</v>
      </c>
      <c r="G26" s="146" t="s">
        <v>185</v>
      </c>
      <c r="H26" s="311" t="s">
        <v>1776</v>
      </c>
      <c r="I26" s="16" t="s">
        <v>1327</v>
      </c>
      <c r="J26" s="16">
        <v>20</v>
      </c>
      <c r="K26" s="151" t="s">
        <v>1777</v>
      </c>
      <c r="L26" s="126"/>
      <c r="M26" s="13" t="str">
        <f>"COMMENT ON COLUMN PG_SILVER."&amp;G26&amp;"."&amp;H26&amp;" IS '"&amp;K26&amp;"';"</f>
        <v>COMMENT ON COLUMN PG_SILVER.PST_ENTR.CST_NBR IS 'Mã số khách hàng';</v>
      </c>
    </row>
    <row r="27" spans="1:13">
      <c r="A27" s="258" t="s">
        <v>512</v>
      </c>
      <c r="B27" s="16" t="s">
        <v>643</v>
      </c>
      <c r="C27" s="26" t="s">
        <v>489</v>
      </c>
      <c r="D27" s="258" t="s">
        <v>1128</v>
      </c>
      <c r="E27" s="258" t="s">
        <v>184</v>
      </c>
      <c r="F27" s="27" t="s">
        <v>1778</v>
      </c>
      <c r="G27" s="146" t="s">
        <v>185</v>
      </c>
      <c r="H27" s="311" t="s">
        <v>1779</v>
      </c>
      <c r="I27" s="16" t="s">
        <v>1327</v>
      </c>
      <c r="J27" s="16">
        <v>20</v>
      </c>
      <c r="K27" s="151" t="s">
        <v>995</v>
      </c>
      <c r="L27" s="126"/>
      <c r="M27" s="13" t="str">
        <f>"COMMENT ON COLUMN PG_SILVER."&amp;G27&amp;"."&amp;H27&amp;" IS '"&amp;K27&amp;"';"</f>
        <v>COMMENT ON COLUMN PG_SILVER.PST_ENTR.ACG_PD_CGY IS 'Loại sản phẩm hạch toán';</v>
      </c>
    </row>
    <row r="28" spans="1:13">
      <c r="A28" s="258" t="s">
        <v>512</v>
      </c>
      <c r="B28" s="16" t="s">
        <v>643</v>
      </c>
      <c r="C28" s="26" t="s">
        <v>478</v>
      </c>
      <c r="D28" s="258" t="s">
        <v>1128</v>
      </c>
      <c r="E28" s="258" t="s">
        <v>184</v>
      </c>
      <c r="F28" s="27" t="s">
        <v>998</v>
      </c>
      <c r="G28" s="146" t="s">
        <v>185</v>
      </c>
      <c r="H28" s="311" t="s">
        <v>1780</v>
      </c>
      <c r="I28" s="16" t="s">
        <v>1327</v>
      </c>
      <c r="J28" s="16">
        <v>4000</v>
      </c>
      <c r="K28" s="151" t="s">
        <v>997</v>
      </c>
      <c r="L28" s="126"/>
      <c r="M28" s="13" t="str">
        <f>"COMMENT ON COLUMN PG_SILVER."&amp;G28&amp;"."&amp;H28&amp;" IS '"&amp;K28&amp;"';"</f>
        <v>COMMENT ON COLUMN PG_SILVER.PST_ENTR.PST_ENTR_DSC IS 'Mô tả bút toán';</v>
      </c>
    </row>
    <row r="29" spans="1:13">
      <c r="A29" s="258" t="s">
        <v>512</v>
      </c>
      <c r="B29" s="16" t="s">
        <v>643</v>
      </c>
      <c r="C29" s="26" t="s">
        <v>464</v>
      </c>
      <c r="D29" s="258" t="s">
        <v>1128</v>
      </c>
      <c r="E29" s="258" t="s">
        <v>184</v>
      </c>
      <c r="F29" s="27" t="s">
        <v>1781</v>
      </c>
      <c r="G29" s="146" t="s">
        <v>185</v>
      </c>
      <c r="H29" s="311" t="s">
        <v>464</v>
      </c>
      <c r="I29" s="16" t="s">
        <v>1327</v>
      </c>
      <c r="J29" s="16">
        <v>1000</v>
      </c>
      <c r="K29" s="151" t="s">
        <v>988</v>
      </c>
      <c r="L29" s="126"/>
      <c r="M29" s="13" t="str">
        <f>"COMMENT ON COLUMN PG_SILVER."&amp;G29&amp;"."&amp;H29&amp;" IS '"&amp;K29&amp;"';"</f>
        <v>COMMENT ON COLUMN PG_SILVER.PST_ENTR.CONSOL_KEY IS 'Consol key của bút toán STMT';</v>
      </c>
    </row>
    <row r="30" spans="1:13">
      <c r="A30" s="55" t="s">
        <v>512</v>
      </c>
      <c r="B30" s="49" t="s">
        <v>643</v>
      </c>
      <c r="C30" s="53" t="s">
        <v>499</v>
      </c>
      <c r="D30" s="55" t="s">
        <v>1128</v>
      </c>
      <c r="E30" s="55" t="s">
        <v>184</v>
      </c>
      <c r="F30" s="49" t="s">
        <v>743</v>
      </c>
      <c r="G30" s="229" t="s">
        <v>185</v>
      </c>
      <c r="H30" s="302" t="s">
        <v>1782</v>
      </c>
      <c r="I30" s="49" t="s">
        <v>1327</v>
      </c>
      <c r="J30" s="49">
        <v>20</v>
      </c>
      <c r="K30" s="55" t="s">
        <v>1783</v>
      </c>
      <c r="L30" s="126"/>
      <c r="M30" s="13" t="str">
        <f>"COMMENT ON COLUMN PG_SILVER."&amp;G30&amp;"."&amp;H30&amp;" IS '"&amp;K30&amp;"';"</f>
        <v>COMMENT ON COLUMN PG_SILVER.PST_ENTR.MOD_CODE IS 'Mã phân hệ giao dịch';</v>
      </c>
    </row>
    <row r="31" spans="1:13">
      <c r="A31" s="258" t="s">
        <v>512</v>
      </c>
      <c r="B31" s="16" t="s">
        <v>1247</v>
      </c>
      <c r="C31" s="26" t="s">
        <v>1248</v>
      </c>
      <c r="D31" s="41" t="s">
        <v>1249</v>
      </c>
      <c r="E31" s="258" t="s">
        <v>184</v>
      </c>
      <c r="F31" s="258" t="s">
        <v>1784</v>
      </c>
      <c r="G31" s="146" t="s">
        <v>185</v>
      </c>
      <c r="H31" s="285" t="s">
        <v>1785</v>
      </c>
      <c r="I31" s="16" t="s">
        <v>1327</v>
      </c>
      <c r="J31" s="16">
        <v>20</v>
      </c>
      <c r="K31" s="258" t="s">
        <v>1786</v>
      </c>
      <c r="L31" s="126"/>
      <c r="M31" s="13" t="str">
        <f>"COMMENT ON COLUMN PG_SILVER."&amp;G31&amp;"."&amp;H31&amp;" IS '"&amp;K31&amp;"';"</f>
        <v>COMMENT ON COLUMN PG_SILVER.PST_ENTR.PST_ENTR_CMPT IS 'Phân loại thành phần giao dịch bút toán';</v>
      </c>
    </row>
    <row r="32" spans="1:13">
      <c r="A32" s="258" t="s">
        <v>512</v>
      </c>
      <c r="B32" s="16" t="s">
        <v>643</v>
      </c>
      <c r="C32" s="258" t="s">
        <v>454</v>
      </c>
      <c r="D32" s="258" t="s">
        <v>1128</v>
      </c>
      <c r="E32" s="258" t="s">
        <v>184</v>
      </c>
      <c r="F32" s="31" t="s">
        <v>1004</v>
      </c>
      <c r="G32" s="146" t="s">
        <v>185</v>
      </c>
      <c r="H32" s="258" t="s">
        <v>1787</v>
      </c>
      <c r="I32" s="258" t="s">
        <v>519</v>
      </c>
      <c r="J32" s="258"/>
      <c r="K32" s="258" t="s">
        <v>1788</v>
      </c>
      <c r="L32" s="126"/>
      <c r="M32" s="13" t="str">
        <f>"COMMENT ON COLUMN PG_SILVER."&amp;G32&amp;"."&amp;H32&amp;" IS '"&amp;K32&amp;"';"</f>
        <v>COMMENT ON COLUMN PG_SILVER.PST_ENTR.ACG_DT IS 'Ngày hạch toán của bút toán';</v>
      </c>
    </row>
    <row r="33" spans="1:13">
      <c r="A33" s="258" t="s">
        <v>512</v>
      </c>
      <c r="B33" s="16" t="s">
        <v>643</v>
      </c>
      <c r="C33" s="258" t="s">
        <v>455</v>
      </c>
      <c r="D33" s="258" t="s">
        <v>1128</v>
      </c>
      <c r="E33" s="258" t="s">
        <v>184</v>
      </c>
      <c r="F33" s="31" t="s">
        <v>1006</v>
      </c>
      <c r="G33" s="146" t="s">
        <v>185</v>
      </c>
      <c r="H33" s="258" t="s">
        <v>1789</v>
      </c>
      <c r="I33" s="16" t="s">
        <v>1079</v>
      </c>
      <c r="J33" s="16">
        <v>32</v>
      </c>
      <c r="K33" s="258" t="s">
        <v>1790</v>
      </c>
      <c r="L33" s="126"/>
      <c r="M33" s="13" t="str">
        <f>"COMMENT ON COLUMN PG_SILVER."&amp;G33&amp;"."&amp;H33&amp;" IS '"&amp;K33&amp;"';"</f>
        <v>COMMENT ON COLUMN PG_SILVER.PST_ENTR.AC_ID IS 'ID tài khoản hạch toán trên DWH';</v>
      </c>
    </row>
    <row r="34" spans="1:13">
      <c r="A34" s="258" t="s">
        <v>512</v>
      </c>
      <c r="B34" s="16" t="s">
        <v>643</v>
      </c>
      <c r="C34" s="258" t="s">
        <v>458</v>
      </c>
      <c r="D34" s="258" t="s">
        <v>1128</v>
      </c>
      <c r="E34" s="258" t="s">
        <v>184</v>
      </c>
      <c r="F34" s="31" t="s">
        <v>1008</v>
      </c>
      <c r="G34" s="146" t="s">
        <v>185</v>
      </c>
      <c r="H34" s="258" t="s">
        <v>1791</v>
      </c>
      <c r="I34" s="49" t="s">
        <v>1327</v>
      </c>
      <c r="J34" s="49">
        <v>20</v>
      </c>
      <c r="K34" s="258" t="s">
        <v>1007</v>
      </c>
      <c r="L34" s="126"/>
      <c r="M34" s="13" t="str">
        <f>"COMMENT ON COLUMN PG_SILVER."&amp;G34&amp;"."&amp;H34&amp;" IS '"&amp;K34&amp;"';"</f>
        <v>COMMENT ON COLUMN PG_SILVER.PST_ENTR.BAL_TP IS 'Loại bút toán';</v>
      </c>
    </row>
    <row r="35" spans="1:13">
      <c r="A35" s="258" t="s">
        <v>512</v>
      </c>
      <c r="B35" s="16" t="s">
        <v>643</v>
      </c>
      <c r="C35" s="258" t="s">
        <v>459</v>
      </c>
      <c r="D35" s="258" t="s">
        <v>1128</v>
      </c>
      <c r="E35" s="258" t="s">
        <v>184</v>
      </c>
      <c r="F35" s="31" t="s">
        <v>1010</v>
      </c>
      <c r="G35" s="146" t="s">
        <v>185</v>
      </c>
      <c r="H35" s="258" t="s">
        <v>1792</v>
      </c>
      <c r="I35" s="49" t="s">
        <v>1327</v>
      </c>
      <c r="J35" s="49">
        <v>40</v>
      </c>
      <c r="K35" s="258" t="s">
        <v>1009</v>
      </c>
      <c r="L35" s="126"/>
      <c r="M35" s="13" t="str">
        <f>"COMMENT ON COLUMN PG_SILVER."&amp;G35&amp;"."&amp;H35&amp;" IS '"&amp;K35&amp;"';"</f>
        <v>COMMENT ON COLUMN PG_SILVER.PST_ENTR.CARD_NBR IS 'Số thẻ';</v>
      </c>
    </row>
    <row r="36" spans="1:13">
      <c r="A36" s="258" t="s">
        <v>512</v>
      </c>
      <c r="B36" s="16" t="s">
        <v>643</v>
      </c>
      <c r="C36" s="258" t="s">
        <v>461</v>
      </c>
      <c r="D36" s="258" t="s">
        <v>1128</v>
      </c>
      <c r="E36" s="258" t="s">
        <v>184</v>
      </c>
      <c r="F36" s="31" t="s">
        <v>1012</v>
      </c>
      <c r="G36" s="146" t="s">
        <v>185</v>
      </c>
      <c r="H36" s="258" t="s">
        <v>1793</v>
      </c>
      <c r="I36" s="49" t="s">
        <v>1327</v>
      </c>
      <c r="J36" s="49">
        <v>20</v>
      </c>
      <c r="K36" s="258" t="s">
        <v>1011</v>
      </c>
      <c r="L36" s="126"/>
      <c r="M36" s="13" t="str">
        <f>"COMMENT ON COLUMN PG_SILVER."&amp;G36&amp;"."&amp;H36&amp;" IS '"&amp;K36&amp;"';"</f>
        <v>COMMENT ON COLUMN PG_SILVER.PST_ENTR.CMMT_ACTN IS 'Trường kỹ thuật đánh dấu bản ghi IUD';</v>
      </c>
    </row>
    <row r="37" spans="1:13">
      <c r="A37" s="258" t="s">
        <v>512</v>
      </c>
      <c r="B37" s="16" t="s">
        <v>643</v>
      </c>
      <c r="C37" s="258" t="s">
        <v>462</v>
      </c>
      <c r="D37" s="258" t="s">
        <v>1128</v>
      </c>
      <c r="E37" s="258" t="s">
        <v>184</v>
      </c>
      <c r="F37" s="31" t="s">
        <v>1014</v>
      </c>
      <c r="G37" s="146" t="s">
        <v>185</v>
      </c>
      <c r="H37" s="258" t="s">
        <v>1794</v>
      </c>
      <c r="I37" s="258" t="s">
        <v>1795</v>
      </c>
      <c r="J37" s="258"/>
      <c r="K37" s="258" t="s">
        <v>1796</v>
      </c>
      <c r="L37" s="126"/>
      <c r="M37" s="13" t="str">
        <f>"COMMENT ON COLUMN PG_SILVER."&amp;G37&amp;"."&amp;H37&amp;" IS '"&amp;K37&amp;"';"</f>
        <v>COMMENT ON COLUMN PG_SILVER.PST_ENTR.CMMT_TMS IS 'Thời gian ghi nhận thay đổi bản ghi trên hệ thống';</v>
      </c>
    </row>
    <row r="38" spans="1:13">
      <c r="A38" s="258" t="s">
        <v>512</v>
      </c>
      <c r="B38" s="16" t="s">
        <v>643</v>
      </c>
      <c r="C38" s="258" t="s">
        <v>466</v>
      </c>
      <c r="D38" s="258" t="s">
        <v>1128</v>
      </c>
      <c r="E38" s="258" t="s">
        <v>184</v>
      </c>
      <c r="F38" s="31" t="s">
        <v>1016</v>
      </c>
      <c r="G38" s="146" t="s">
        <v>185</v>
      </c>
      <c r="H38" s="258" t="s">
        <v>1797</v>
      </c>
      <c r="I38" s="49" t="s">
        <v>1327</v>
      </c>
      <c r="J38" s="49">
        <v>20</v>
      </c>
      <c r="K38" s="258" t="s">
        <v>1015</v>
      </c>
      <c r="L38" s="126"/>
      <c r="M38" s="13" t="str">
        <f>"COMMENT ON COLUMN PG_SILVER."&amp;G38&amp;"."&amp;H38&amp;" IS '"&amp;K38&amp;"';"</f>
        <v>COMMENT ON COLUMN PG_SILVER.PST_ENTR.CGY_PD_CODE IS 'Mã Category phân loại bút toán';</v>
      </c>
    </row>
    <row r="39" spans="1:13">
      <c r="A39" s="258" t="s">
        <v>512</v>
      </c>
      <c r="B39" s="16" t="s">
        <v>643</v>
      </c>
      <c r="C39" s="258" t="s">
        <v>468</v>
      </c>
      <c r="D39" s="258" t="s">
        <v>1128</v>
      </c>
      <c r="E39" s="258" t="s">
        <v>184</v>
      </c>
      <c r="F39" s="31" t="s">
        <v>1018</v>
      </c>
      <c r="G39" s="146" t="s">
        <v>185</v>
      </c>
      <c r="H39" s="258" t="s">
        <v>1798</v>
      </c>
      <c r="I39" s="258" t="s">
        <v>1106</v>
      </c>
      <c r="J39" s="258">
        <v>22</v>
      </c>
      <c r="K39" s="258" t="s">
        <v>1017</v>
      </c>
      <c r="L39" s="126"/>
      <c r="M39" s="13" t="str">
        <f>"COMMENT ON COLUMN PG_SILVER."&amp;G39&amp;"."&amp;H39&amp;" IS '"&amp;K39&amp;"';"</f>
        <v>COMMENT ON COLUMN PG_SILVER.PST_ENTR.CRN_NBR IS 'Trường kỹ thuật, đánh dấu version thay đổi bút toán';</v>
      </c>
    </row>
    <row r="40" spans="1:13">
      <c r="A40" s="258" t="s">
        <v>512</v>
      </c>
      <c r="B40" s="16" t="s">
        <v>643</v>
      </c>
      <c r="C40" s="258" t="s">
        <v>471</v>
      </c>
      <c r="D40" s="258" t="s">
        <v>1128</v>
      </c>
      <c r="E40" s="258" t="s">
        <v>184</v>
      </c>
      <c r="F40" s="31" t="s">
        <v>1019</v>
      </c>
      <c r="G40" s="146" t="s">
        <v>185</v>
      </c>
      <c r="H40" s="258" t="s">
        <v>1799</v>
      </c>
      <c r="I40" s="258" t="s">
        <v>519</v>
      </c>
      <c r="J40" s="258"/>
      <c r="K40" s="258" t="s">
        <v>1800</v>
      </c>
      <c r="L40" s="126"/>
      <c r="M40" s="13" t="str">
        <f>"COMMENT ON COLUMN PG_SILVER."&amp;G40&amp;"."&amp;H40&amp;" IS '"&amp;K40&amp;"';"</f>
        <v>COMMENT ON COLUMN PG_SILVER.PST_ENTR.CYC_FWD IS 'Chu kỳ';</v>
      </c>
    </row>
    <row r="41" spans="1:13">
      <c r="A41" s="258" t="s">
        <v>512</v>
      </c>
      <c r="B41" s="16" t="s">
        <v>643</v>
      </c>
      <c r="C41" s="258" t="s">
        <v>472</v>
      </c>
      <c r="D41" s="258" t="s">
        <v>1128</v>
      </c>
      <c r="E41" s="258" t="s">
        <v>184</v>
      </c>
      <c r="F41" s="31" t="s">
        <v>1021</v>
      </c>
      <c r="G41" s="146" t="s">
        <v>185</v>
      </c>
      <c r="H41" s="258" t="s">
        <v>1801</v>
      </c>
      <c r="I41" s="258" t="s">
        <v>519</v>
      </c>
      <c r="J41" s="258"/>
      <c r="K41" s="258" t="s">
        <v>1020</v>
      </c>
      <c r="L41" s="126"/>
      <c r="M41" s="13" t="str">
        <f>"COMMENT ON COLUMN PG_SILVER."&amp;G41&amp;"."&amp;H41&amp;" IS '"&amp;K41&amp;"';"</f>
        <v>COMMENT ON COLUMN PG_SILVER.PST_ENTR.DT_TM IS 'Trường kỹ thuật, ghi nhận thời gian sửa đổi';</v>
      </c>
    </row>
    <row r="42" spans="1:13">
      <c r="A42" s="258" t="s">
        <v>512</v>
      </c>
      <c r="B42" s="16" t="s">
        <v>643</v>
      </c>
      <c r="C42" s="258" t="s">
        <v>473</v>
      </c>
      <c r="D42" s="258" t="s">
        <v>1128</v>
      </c>
      <c r="E42" s="258" t="s">
        <v>184</v>
      </c>
      <c r="F42" s="31" t="s">
        <v>1023</v>
      </c>
      <c r="G42" s="146" t="s">
        <v>185</v>
      </c>
      <c r="H42" s="258" t="s">
        <v>1802</v>
      </c>
      <c r="I42" s="49" t="s">
        <v>1327</v>
      </c>
      <c r="J42" s="49">
        <v>20</v>
      </c>
      <c r="K42" s="258" t="s">
        <v>1022</v>
      </c>
      <c r="L42" s="126"/>
      <c r="M42" s="13" t="str">
        <f>"COMMENT ON COLUMN PG_SILVER."&amp;G42&amp;"."&amp;H42&amp;" IS '"&amp;K42&amp;"';"</f>
        <v>COMMENT ON COLUMN PG_SILVER.PST_ENTR.DEPT_CODE IS 'Mã đơn vị hạch toán';</v>
      </c>
    </row>
    <row r="43" spans="1:13">
      <c r="A43" s="258" t="s">
        <v>512</v>
      </c>
      <c r="B43" s="16" t="s">
        <v>643</v>
      </c>
      <c r="C43" s="258" t="s">
        <v>474</v>
      </c>
      <c r="D43" s="258" t="s">
        <v>1128</v>
      </c>
      <c r="E43" s="258" t="s">
        <v>184</v>
      </c>
      <c r="F43" s="31" t="s">
        <v>1025</v>
      </c>
      <c r="G43" s="146" t="s">
        <v>185</v>
      </c>
      <c r="H43" s="258" t="s">
        <v>1803</v>
      </c>
      <c r="I43" s="49" t="s">
        <v>1327</v>
      </c>
      <c r="J43" s="49">
        <v>20</v>
      </c>
      <c r="K43" s="258" t="s">
        <v>1024</v>
      </c>
      <c r="L43" s="126"/>
      <c r="M43" s="13" t="str">
        <f>"COMMENT ON COLUMN PG_SILVER."&amp;G43&amp;"."&amp;H43&amp;" IS '"&amp;K43&amp;"';"</f>
        <v>COMMENT ON COLUMN PG_SILVER.PST_ENTR.DRN_AC IS 'Tài khoản ghi nhận số tiền rút';</v>
      </c>
    </row>
    <row r="44" spans="1:13">
      <c r="A44" s="258" t="s">
        <v>512</v>
      </c>
      <c r="B44" s="16" t="s">
        <v>643</v>
      </c>
      <c r="C44" s="258" t="s">
        <v>476</v>
      </c>
      <c r="D44" s="258" t="s">
        <v>1128</v>
      </c>
      <c r="E44" s="258" t="s">
        <v>184</v>
      </c>
      <c r="F44" s="31" t="s">
        <v>1027</v>
      </c>
      <c r="G44" s="146" t="s">
        <v>185</v>
      </c>
      <c r="H44" s="258" t="s">
        <v>1804</v>
      </c>
      <c r="I44" s="49" t="s">
        <v>1327</v>
      </c>
      <c r="J44" s="49">
        <v>20</v>
      </c>
      <c r="K44" s="258" t="s">
        <v>1026</v>
      </c>
      <c r="L44" s="126"/>
      <c r="M44" s="13" t="str">
        <f>"COMMENT ON COLUMN PG_SILVER."&amp;G44&amp;"."&amp;H44&amp;" IS '"&amp;K44&amp;"';"</f>
        <v>COMMENT ON COLUMN PG_SILVER.PST_ENTR.INR_CGY IS 'Mã Category nội bộ';</v>
      </c>
    </row>
    <row r="45" spans="1:13">
      <c r="A45" s="258" t="s">
        <v>512</v>
      </c>
      <c r="B45" s="16" t="s">
        <v>643</v>
      </c>
      <c r="C45" s="258" t="s">
        <v>477</v>
      </c>
      <c r="D45" s="258" t="s">
        <v>1128</v>
      </c>
      <c r="E45" s="258" t="s">
        <v>184</v>
      </c>
      <c r="F45" s="31" t="s">
        <v>1029</v>
      </c>
      <c r="G45" s="146" t="s">
        <v>185</v>
      </c>
      <c r="H45" s="258" t="s">
        <v>1805</v>
      </c>
      <c r="I45" s="49" t="s">
        <v>1327</v>
      </c>
      <c r="J45" s="49">
        <v>20</v>
      </c>
      <c r="K45" s="258" t="s">
        <v>1028</v>
      </c>
      <c r="L45" s="126"/>
      <c r="M45" s="13" t="str">
        <f>"COMMENT ON COLUMN PG_SILVER."&amp;G45&amp;"."&amp;H45&amp;" IS '"&amp;K45&amp;"';"</f>
        <v>COMMENT ON COLUMN PG_SILVER.PST_ENTR.LCL_REFR IS 'Trường multivalue - đa nghĩa của T24';</v>
      </c>
    </row>
    <row r="46" spans="1:13">
      <c r="A46" s="258" t="s">
        <v>512</v>
      </c>
      <c r="B46" s="16" t="s">
        <v>643</v>
      </c>
      <c r="C46" s="258" t="s">
        <v>479</v>
      </c>
      <c r="D46" s="258" t="s">
        <v>1128</v>
      </c>
      <c r="E46" s="258" t="s">
        <v>184</v>
      </c>
      <c r="F46" s="31" t="s">
        <v>1031</v>
      </c>
      <c r="G46" s="146" t="s">
        <v>185</v>
      </c>
      <c r="H46" s="258" t="s">
        <v>1717</v>
      </c>
      <c r="I46" s="258" t="s">
        <v>1106</v>
      </c>
      <c r="J46" s="258">
        <v>25.5</v>
      </c>
      <c r="K46" s="258" t="s">
        <v>1030</v>
      </c>
      <c r="L46" s="126"/>
      <c r="M46" s="13" t="str">
        <f>"COMMENT ON COLUMN PG_SILVER."&amp;G46&amp;"."&amp;H46&amp;" IS '"&amp;K46&amp;"';"</f>
        <v>COMMENT ON COLUMN PG_SILVER.PST_ENTR.ORIG_AMT_LCY IS 'Giá trị hạch toán ban đầu quy đổi';</v>
      </c>
    </row>
    <row r="47" spans="1:13">
      <c r="A47" s="258" t="s">
        <v>512</v>
      </c>
      <c r="B47" s="16" t="s">
        <v>643</v>
      </c>
      <c r="C47" s="258" t="s">
        <v>480</v>
      </c>
      <c r="D47" s="258" t="s">
        <v>1128</v>
      </c>
      <c r="E47" s="258" t="s">
        <v>184</v>
      </c>
      <c r="F47" s="31" t="s">
        <v>1033</v>
      </c>
      <c r="G47" s="146" t="s">
        <v>185</v>
      </c>
      <c r="H47" s="258" t="s">
        <v>1806</v>
      </c>
      <c r="I47" s="49" t="s">
        <v>1327</v>
      </c>
      <c r="J47" s="49">
        <v>20</v>
      </c>
      <c r="K47" s="258" t="s">
        <v>1032</v>
      </c>
      <c r="L47" s="126"/>
      <c r="M47" s="13" t="str">
        <f>"COMMENT ON COLUMN PG_SILVER."&amp;G47&amp;"."&amp;H47&amp;" IS '"&amp;K47&amp;"';"</f>
        <v>COMMENT ON COLUMN PG_SILVER.PST_ENTR.ORIG_AC IS 'Số tài khoản hạch toán ban đầu';</v>
      </c>
    </row>
    <row r="48" spans="1:13">
      <c r="A48" s="258" t="s">
        <v>512</v>
      </c>
      <c r="B48" s="16" t="s">
        <v>643</v>
      </c>
      <c r="C48" s="258" t="s">
        <v>481</v>
      </c>
      <c r="D48" s="258" t="s">
        <v>1128</v>
      </c>
      <c r="E48" s="258" t="s">
        <v>184</v>
      </c>
      <c r="F48" s="31" t="s">
        <v>1035</v>
      </c>
      <c r="G48" s="146" t="s">
        <v>185</v>
      </c>
      <c r="H48" s="258" t="s">
        <v>1807</v>
      </c>
      <c r="I48" s="258" t="s">
        <v>1106</v>
      </c>
      <c r="J48" s="258">
        <v>25.5</v>
      </c>
      <c r="K48" s="258" t="s">
        <v>1034</v>
      </c>
      <c r="L48" s="126"/>
      <c r="M48" s="13" t="str">
        <f>"COMMENT ON COLUMN PG_SILVER."&amp;G48&amp;"."&amp;H48&amp;" IS '"&amp;K48&amp;"';"</f>
        <v>COMMENT ON COLUMN PG_SILVER.PST_ENTR.ORIG_AMT IS 'Giá trị hạch toán ban đầu nguyên tệ';</v>
      </c>
    </row>
    <row r="49" spans="1:13">
      <c r="A49" s="258" t="s">
        <v>512</v>
      </c>
      <c r="B49" s="16" t="s">
        <v>643</v>
      </c>
      <c r="C49" s="258" t="s">
        <v>482</v>
      </c>
      <c r="D49" s="258" t="s">
        <v>1128</v>
      </c>
      <c r="E49" s="258" t="s">
        <v>184</v>
      </c>
      <c r="F49" s="31" t="s">
        <v>1037</v>
      </c>
      <c r="G49" s="146" t="s">
        <v>185</v>
      </c>
      <c r="H49" s="258" t="s">
        <v>1808</v>
      </c>
      <c r="I49" s="258" t="s">
        <v>1106</v>
      </c>
      <c r="J49" s="258">
        <v>25.5</v>
      </c>
      <c r="K49" s="258" t="s">
        <v>1036</v>
      </c>
      <c r="L49" s="126"/>
      <c r="M49" s="13" t="str">
        <f>"COMMENT ON COLUMN PG_SILVER."&amp;G49&amp;"."&amp;H49&amp;" IS '"&amp;K49&amp;"';"</f>
        <v>COMMENT ON COLUMN PG_SILVER.PST_ENTR.ORIG_CCY IS 'Loại tiền giao dịch ban đầu';</v>
      </c>
    </row>
    <row r="50" spans="1:13">
      <c r="A50" s="258" t="s">
        <v>512</v>
      </c>
      <c r="B50" s="16" t="s">
        <v>643</v>
      </c>
      <c r="C50" s="258" t="s">
        <v>483</v>
      </c>
      <c r="D50" s="258" t="s">
        <v>1128</v>
      </c>
      <c r="E50" s="258" t="s">
        <v>184</v>
      </c>
      <c r="F50" s="31" t="s">
        <v>1039</v>
      </c>
      <c r="G50" s="146" t="s">
        <v>185</v>
      </c>
      <c r="H50" s="258" t="s">
        <v>1809</v>
      </c>
      <c r="I50" s="258" t="s">
        <v>1106</v>
      </c>
      <c r="J50" s="258">
        <v>25.5</v>
      </c>
      <c r="K50" s="258" t="s">
        <v>1038</v>
      </c>
      <c r="L50" s="126"/>
      <c r="M50" s="13" t="str">
        <f>"COMMENT ON COLUMN PG_SILVER."&amp;G50&amp;"."&amp;H50&amp;" IS '"&amp;K50&amp;"';"</f>
        <v>COMMENT ON COLUMN PG_SILVER.PST_ENTR.ORIG_EXG_RATE IS 'Tỷ giá quy đổi cho loại tiền ban đầu';</v>
      </c>
    </row>
    <row r="51" spans="1:13">
      <c r="A51" s="258" t="s">
        <v>512</v>
      </c>
      <c r="B51" s="16" t="s">
        <v>643</v>
      </c>
      <c r="C51" s="258" t="s">
        <v>485</v>
      </c>
      <c r="D51" s="258" t="s">
        <v>1128</v>
      </c>
      <c r="E51" s="258" t="s">
        <v>184</v>
      </c>
      <c r="F51" s="31" t="s">
        <v>1041</v>
      </c>
      <c r="G51" s="146" t="s">
        <v>185</v>
      </c>
      <c r="H51" s="258" t="s">
        <v>1810</v>
      </c>
      <c r="I51" s="258" t="s">
        <v>1106</v>
      </c>
      <c r="J51" s="258">
        <v>25.5</v>
      </c>
      <c r="K51" s="258" t="s">
        <v>1040</v>
      </c>
      <c r="L51" s="126"/>
      <c r="M51" s="13" t="str">
        <f>"COMMENT ON COLUMN PG_SILVER."&amp;G51&amp;"."&amp;H51&amp;" IS '"&amp;K51&amp;"';"</f>
        <v>COMMENT ON COLUMN PG_SILVER.PST_ENTR.OTSND_BAL IS 'Dư nợ tín dụng của hợp đồng ( OUR_REFERENCE)';</v>
      </c>
    </row>
    <row r="52" spans="1:13">
      <c r="A52" s="258" t="s">
        <v>512</v>
      </c>
      <c r="B52" s="16" t="s">
        <v>643</v>
      </c>
      <c r="C52" s="258" t="s">
        <v>486</v>
      </c>
      <c r="D52" s="258" t="s">
        <v>1128</v>
      </c>
      <c r="E52" s="258" t="s">
        <v>184</v>
      </c>
      <c r="F52" s="31" t="s">
        <v>1811</v>
      </c>
      <c r="G52" s="146" t="s">
        <v>185</v>
      </c>
      <c r="H52" s="258" t="s">
        <v>1812</v>
      </c>
      <c r="I52" s="49" t="s">
        <v>1327</v>
      </c>
      <c r="J52" s="49">
        <v>20</v>
      </c>
      <c r="K52" s="258" t="s">
        <v>1813</v>
      </c>
      <c r="L52" s="126"/>
      <c r="M52" s="13" t="str">
        <f>"COMMENT ON COLUMN PG_SILVER."&amp;G52&amp;"."&amp;H52&amp;" IS '"&amp;K52&amp;"';"</f>
        <v>COMMENT ON COLUMN PG_SILVER.PST_ENTR.OVRD IS 'Ghi đè';</v>
      </c>
    </row>
    <row r="53" spans="1:13">
      <c r="A53" s="258" t="s">
        <v>512</v>
      </c>
      <c r="B53" s="16" t="s">
        <v>643</v>
      </c>
      <c r="C53" s="258" t="s">
        <v>487</v>
      </c>
      <c r="D53" s="258" t="s">
        <v>1128</v>
      </c>
      <c r="E53" s="258" t="s">
        <v>184</v>
      </c>
      <c r="F53" s="31" t="s">
        <v>1044</v>
      </c>
      <c r="G53" s="146" t="s">
        <v>185</v>
      </c>
      <c r="H53" s="258" t="s">
        <v>1814</v>
      </c>
      <c r="I53" s="49" t="s">
        <v>1327</v>
      </c>
      <c r="J53" s="49">
        <v>20</v>
      </c>
      <c r="K53" s="258" t="s">
        <v>1815</v>
      </c>
      <c r="L53" s="126"/>
      <c r="M53" s="13" t="str">
        <f>"COMMENT ON COLUMN PG_SILVER."&amp;G53&amp;"."&amp;H53&amp;" IS '"&amp;K53&amp;"';"</f>
        <v>COMMENT ON COLUMN PG_SILVER.PST_ENTR.PCS_FWD IS 'Tiến trình';</v>
      </c>
    </row>
    <row r="54" spans="1:13">
      <c r="A54" s="258" t="s">
        <v>512</v>
      </c>
      <c r="B54" s="16" t="s">
        <v>643</v>
      </c>
      <c r="C54" s="258" t="s">
        <v>491</v>
      </c>
      <c r="D54" s="258" t="s">
        <v>1128</v>
      </c>
      <c r="E54" s="258" t="s">
        <v>184</v>
      </c>
      <c r="F54" s="31" t="s">
        <v>1046</v>
      </c>
      <c r="G54" s="146" t="s">
        <v>185</v>
      </c>
      <c r="H54" s="258" t="s">
        <v>1816</v>
      </c>
      <c r="I54" s="49" t="s">
        <v>1327</v>
      </c>
      <c r="J54" s="49">
        <v>20</v>
      </c>
      <c r="K54" s="258" t="s">
        <v>1045</v>
      </c>
      <c r="L54" s="126"/>
      <c r="M54" s="13" t="str">
        <f>"COMMENT ON COLUMN PG_SILVER."&amp;G54&amp;"."&amp;H54&amp;" IS '"&amp;K54&amp;"';"</f>
        <v>COMMENT ON COLUMN PG_SILVER.PST_ENTR.RCRD_ST IS 'Trạng Thái bản ghi';</v>
      </c>
    </row>
    <row r="55" spans="1:13">
      <c r="A55" s="258" t="s">
        <v>512</v>
      </c>
      <c r="B55" s="16" t="s">
        <v>643</v>
      </c>
      <c r="C55" s="258" t="s">
        <v>492</v>
      </c>
      <c r="D55" s="258" t="s">
        <v>1128</v>
      </c>
      <c r="E55" s="258" t="s">
        <v>184</v>
      </c>
      <c r="F55" s="31" t="s">
        <v>1048</v>
      </c>
      <c r="G55" s="146" t="s">
        <v>185</v>
      </c>
      <c r="H55" s="258" t="s">
        <v>1817</v>
      </c>
      <c r="I55" s="258" t="s">
        <v>1106</v>
      </c>
      <c r="J55" s="258">
        <v>25.5</v>
      </c>
      <c r="K55" s="258" t="s">
        <v>1047</v>
      </c>
      <c r="L55" s="126"/>
      <c r="M55" s="13" t="str">
        <f>"COMMENT ON COLUMN PG_SILVER."&amp;G55&amp;"."&amp;H55&amp;" IS '"&amp;K55&amp;"';"</f>
        <v>COMMENT ON COLUMN PG_SILVER.PST_ENTR.REPYMT_AMT IS 'Số tiền thu nợ';</v>
      </c>
    </row>
    <row r="56" spans="1:13">
      <c r="A56" s="258" t="s">
        <v>512</v>
      </c>
      <c r="B56" s="16" t="s">
        <v>643</v>
      </c>
      <c r="C56" s="258" t="s">
        <v>493</v>
      </c>
      <c r="D56" s="258" t="s">
        <v>1128</v>
      </c>
      <c r="E56" s="258" t="s">
        <v>184</v>
      </c>
      <c r="F56" s="31" t="s">
        <v>1050</v>
      </c>
      <c r="G56" s="146" t="s">
        <v>185</v>
      </c>
      <c r="H56" s="258" t="s">
        <v>1818</v>
      </c>
      <c r="I56" s="258" t="s">
        <v>519</v>
      </c>
      <c r="J56" s="258"/>
      <c r="K56" s="258" t="s">
        <v>1049</v>
      </c>
      <c r="L56" s="126"/>
      <c r="M56" s="13" t="str">
        <f>"COMMENT ON COLUMN PG_SILVER."&amp;G56&amp;"."&amp;H56&amp;" IS '"&amp;K56&amp;"';"</f>
        <v>COMMENT ON COLUMN PG_SILVER.PST_ENTR.REPYMT_DT IS 'Ngày thu';</v>
      </c>
    </row>
    <row r="57" spans="1:13">
      <c r="A57" s="258" t="s">
        <v>512</v>
      </c>
      <c r="B57" s="16" t="s">
        <v>643</v>
      </c>
      <c r="C57" s="258" t="s">
        <v>494</v>
      </c>
      <c r="D57" s="258" t="s">
        <v>1128</v>
      </c>
      <c r="E57" s="258" t="s">
        <v>184</v>
      </c>
      <c r="F57" s="31" t="s">
        <v>1052</v>
      </c>
      <c r="G57" s="146" t="s">
        <v>185</v>
      </c>
      <c r="H57" s="258" t="s">
        <v>1819</v>
      </c>
      <c r="I57" s="49" t="s">
        <v>1327</v>
      </c>
      <c r="J57" s="49">
        <v>20</v>
      </c>
      <c r="K57" s="258" t="s">
        <v>1051</v>
      </c>
      <c r="L57" s="126"/>
      <c r="M57" s="13" t="str">
        <f>"COMMENT ON COLUMN PG_SILVER."&amp;G57&amp;"."&amp;H57&amp;" IS '"&amp;K57&amp;"';"</f>
        <v>COMMENT ON COLUMN PG_SILVER.PST_ENTR.REPYMT_TP IS 'Loại thu nợ';</v>
      </c>
    </row>
    <row r="58" spans="1:13">
      <c r="A58" s="258" t="s">
        <v>512</v>
      </c>
      <c r="B58" s="16" t="s">
        <v>643</v>
      </c>
      <c r="C58" s="258" t="s">
        <v>497</v>
      </c>
      <c r="D58" s="258" t="s">
        <v>1128</v>
      </c>
      <c r="E58" s="258" t="s">
        <v>184</v>
      </c>
      <c r="F58" s="31" t="s">
        <v>1054</v>
      </c>
      <c r="G58" s="146" t="s">
        <v>185</v>
      </c>
      <c r="H58" s="258" t="s">
        <v>1820</v>
      </c>
      <c r="I58" s="49" t="s">
        <v>1327</v>
      </c>
      <c r="J58" s="49">
        <v>20</v>
      </c>
      <c r="K58" s="258" t="s">
        <v>1053</v>
      </c>
      <c r="L58" s="126"/>
      <c r="M58" s="13" t="str">
        <f>"COMMENT ON COLUMN PG_SILVER."&amp;G58&amp;"."&amp;H58&amp;" IS '"&amp;K58&amp;"';"</f>
        <v>COMMENT ON COLUMN PG_SILVER.PST_ENTR.SUSP_CGY IS 'Mã Category phân loại bút toán bị treo';</v>
      </c>
    </row>
    <row r="59" spans="1:13">
      <c r="A59" s="258" t="s">
        <v>512</v>
      </c>
      <c r="B59" s="16" t="s">
        <v>643</v>
      </c>
      <c r="C59" s="258" t="s">
        <v>498</v>
      </c>
      <c r="D59" s="258" t="s">
        <v>1128</v>
      </c>
      <c r="E59" s="258" t="s">
        <v>184</v>
      </c>
      <c r="F59" s="31" t="s">
        <v>1056</v>
      </c>
      <c r="G59" s="146" t="s">
        <v>185</v>
      </c>
      <c r="H59" s="258" t="s">
        <v>1821</v>
      </c>
      <c r="I59" s="258" t="s">
        <v>519</v>
      </c>
      <c r="J59" s="258"/>
      <c r="K59" s="258" t="s">
        <v>1055</v>
      </c>
      <c r="L59" s="126"/>
      <c r="M59" s="13" t="str">
        <f>"COMMENT ON COLUMN PG_SILVER."&amp;G59&amp;"."&amp;H59&amp;" IS '"&amp;K59&amp;"';"</f>
        <v>COMMENT ON COLUMN PG_SILVER.PST_ENTR.SUSP_VAL_DT IS 'Ngày bút toán treo';</v>
      </c>
    </row>
    <row r="61" spans="1:13">
      <c r="D61" s="13" t="s">
        <v>1822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14"/>
  <sheetViews>
    <sheetView workbookViewId="0"/>
  </sheetViews>
  <sheetFormatPr defaultColWidth="14.42578125" defaultRowHeight="15" customHeight="1"/>
  <cols>
    <col min="1" max="1" width="7.140625" style="259" customWidth="1"/>
    <col min="3" max="3" width="27.42578125" style="259" customWidth="1"/>
    <col min="4" max="4" width="18.5703125" style="259" customWidth="1"/>
    <col min="6" max="6" width="21" style="259" customWidth="1"/>
    <col min="7" max="7" width="12.7109375" style="259" customWidth="1"/>
    <col min="8" max="8" width="94.140625" style="259" customWidth="1"/>
    <col min="11" max="11" width="29.42578125" style="259" customWidth="1"/>
  </cols>
  <sheetData>
    <row r="1" spans="1:13">
      <c r="A1" s="34" t="s">
        <v>1057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6" t="s">
        <v>1116</v>
      </c>
      <c r="B2" s="37" t="s">
        <v>1117</v>
      </c>
      <c r="C2" s="39" t="s">
        <v>1118</v>
      </c>
      <c r="D2" s="39" t="s">
        <v>1119</v>
      </c>
      <c r="E2" s="39" t="s">
        <v>1120</v>
      </c>
      <c r="F2" s="39" t="s">
        <v>1121</v>
      </c>
      <c r="G2" s="39" t="s">
        <v>1122</v>
      </c>
      <c r="H2" s="39" t="s">
        <v>1123</v>
      </c>
      <c r="I2" s="34"/>
      <c r="J2" s="34"/>
      <c r="K2" s="34"/>
    </row>
    <row r="3" spans="1:13" ht="126.75" customHeight="1">
      <c r="A3" s="60">
        <v>1</v>
      </c>
      <c r="B3" s="121" t="s">
        <v>1208</v>
      </c>
      <c r="C3" s="121" t="s">
        <v>1823</v>
      </c>
      <c r="D3" s="311" t="s">
        <v>1824</v>
      </c>
      <c r="E3" s="311" t="s">
        <v>1217</v>
      </c>
      <c r="F3" s="312"/>
      <c r="G3" s="312"/>
      <c r="H3" s="311" t="s">
        <v>1825</v>
      </c>
      <c r="I3" s="34"/>
      <c r="J3" s="34"/>
      <c r="K3" s="34"/>
    </row>
    <row r="4" spans="1:13" ht="134.25" customHeight="1">
      <c r="A4" s="60">
        <v>2</v>
      </c>
      <c r="B4" s="121" t="s">
        <v>1208</v>
      </c>
      <c r="C4" s="121" t="s">
        <v>1826</v>
      </c>
      <c r="D4" s="311" t="s">
        <v>1827</v>
      </c>
      <c r="E4" s="311" t="s">
        <v>1217</v>
      </c>
      <c r="F4" s="312"/>
      <c r="G4" s="312"/>
      <c r="H4" s="311" t="s">
        <v>1828</v>
      </c>
      <c r="I4" s="34"/>
      <c r="J4" s="34"/>
      <c r="K4" s="34"/>
    </row>
    <row r="5" spans="1:13" ht="123" customHeight="1">
      <c r="A5" s="60">
        <v>3</v>
      </c>
      <c r="B5" s="121"/>
      <c r="C5" s="121"/>
      <c r="D5" s="311" t="s">
        <v>1829</v>
      </c>
      <c r="E5" s="311" t="s">
        <v>1211</v>
      </c>
      <c r="F5" s="312"/>
      <c r="G5" s="312"/>
      <c r="H5" s="311" t="s">
        <v>1830</v>
      </c>
      <c r="I5" s="34"/>
      <c r="J5" s="34"/>
      <c r="K5" s="34"/>
    </row>
    <row r="6" spans="1:13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3">
      <c r="A8" s="34" t="s">
        <v>1058</v>
      </c>
      <c r="B8" s="34" t="s">
        <v>1059</v>
      </c>
      <c r="C8" s="34" t="s">
        <v>1065</v>
      </c>
      <c r="D8" s="34" t="s">
        <v>1066</v>
      </c>
      <c r="E8" s="34" t="s">
        <v>1067</v>
      </c>
      <c r="F8" s="34" t="s">
        <v>1068</v>
      </c>
      <c r="G8" s="34" t="s">
        <v>1069</v>
      </c>
      <c r="H8" s="34" t="s">
        <v>1070</v>
      </c>
      <c r="I8" s="34" t="s">
        <v>1071</v>
      </c>
      <c r="J8" s="34" t="s">
        <v>1072</v>
      </c>
      <c r="K8" s="34" t="s">
        <v>1073</v>
      </c>
    </row>
    <row r="9" spans="1:13">
      <c r="A9" s="258"/>
      <c r="B9" s="258" t="s">
        <v>1829</v>
      </c>
      <c r="C9" s="258"/>
      <c r="D9" s="258" t="s">
        <v>1125</v>
      </c>
      <c r="E9" s="258" t="s">
        <v>178</v>
      </c>
      <c r="F9" s="311" t="s">
        <v>1831</v>
      </c>
      <c r="G9" s="16" t="s">
        <v>179</v>
      </c>
      <c r="H9" s="311" t="s">
        <v>1832</v>
      </c>
      <c r="I9" s="311" t="s">
        <v>519</v>
      </c>
      <c r="J9" s="16"/>
      <c r="K9" s="311" t="s">
        <v>247</v>
      </c>
      <c r="M9" s="13" t="str">
        <f>"COMMENT ON COLUMN PG_SILVER."&amp;G9&amp;"."&amp;H9&amp;" IS '"&amp;K9&amp;"';"</f>
        <v>COMMENT ON COLUMN PG_SILVER.EXG_RATE.SNPST_DT IS 'Ngày dữ liệu';</v>
      </c>
    </row>
    <row r="10" spans="1:13">
      <c r="A10" s="258"/>
      <c r="B10" s="258" t="s">
        <v>1829</v>
      </c>
      <c r="C10" s="258"/>
      <c r="D10" s="228" t="s">
        <v>1833</v>
      </c>
      <c r="E10" s="258" t="s">
        <v>178</v>
      </c>
      <c r="F10" s="32" t="s">
        <v>1093</v>
      </c>
      <c r="G10" s="16" t="s">
        <v>179</v>
      </c>
      <c r="H10" s="311" t="s">
        <v>316</v>
      </c>
      <c r="I10" s="311" t="s">
        <v>1083</v>
      </c>
      <c r="J10" s="16">
        <v>32</v>
      </c>
      <c r="K10" s="311" t="s">
        <v>1094</v>
      </c>
      <c r="M10" s="13" t="str">
        <f>"COMMENT ON COLUMN PG_SILVER."&amp;G10&amp;"."&amp;H10&amp;" IS '"&amp;K10&amp;"';"</f>
        <v>COMMENT ON COLUMN PG_SILVER.EXG_RATE.SRC_STM_CODE IS 'Mã nguồn dữ liệu';</v>
      </c>
    </row>
    <row r="11" spans="1:13">
      <c r="A11" s="16"/>
      <c r="B11" s="258" t="s">
        <v>1829</v>
      </c>
      <c r="C11" s="284" t="s">
        <v>1834</v>
      </c>
      <c r="D11" s="258" t="s">
        <v>1128</v>
      </c>
      <c r="E11" s="258" t="s">
        <v>178</v>
      </c>
      <c r="F11" s="311" t="s">
        <v>1835</v>
      </c>
      <c r="G11" s="16" t="s">
        <v>179</v>
      </c>
      <c r="H11" s="285" t="s">
        <v>1834</v>
      </c>
      <c r="I11" s="32" t="s">
        <v>1083</v>
      </c>
      <c r="J11" s="16">
        <v>20</v>
      </c>
      <c r="K11" s="311" t="s">
        <v>1836</v>
      </c>
      <c r="M11" s="13" t="str">
        <f>"COMMENT ON COLUMN PG_SILVER."&amp;G11&amp;"."&amp;H11&amp;" IS '"&amp;K11&amp;"';"</f>
        <v>COMMENT ON COLUMN PG_SILVER.EXG_RATE.FRST_CCY_CODE IS 'Mã loại tiền tệ gốc';</v>
      </c>
    </row>
    <row r="12" spans="1:13">
      <c r="A12" s="16"/>
      <c r="B12" s="258" t="s">
        <v>1829</v>
      </c>
      <c r="C12" s="284" t="s">
        <v>1837</v>
      </c>
      <c r="D12" s="258" t="s">
        <v>1128</v>
      </c>
      <c r="E12" s="258" t="s">
        <v>178</v>
      </c>
      <c r="F12" s="311" t="s">
        <v>1838</v>
      </c>
      <c r="G12" s="16" t="s">
        <v>179</v>
      </c>
      <c r="H12" s="285" t="s">
        <v>1837</v>
      </c>
      <c r="I12" s="32" t="s">
        <v>1083</v>
      </c>
      <c r="J12" s="16">
        <v>20</v>
      </c>
      <c r="K12" s="311" t="s">
        <v>1839</v>
      </c>
      <c r="M12" s="13" t="str">
        <f>"COMMENT ON COLUMN PG_SILVER."&amp;G12&amp;"."&amp;H12&amp;" IS '"&amp;K12&amp;"';"</f>
        <v>COMMENT ON COLUMN PG_SILVER.EXG_RATE.SCD_CCY_CODE IS 'Mã loại tiền tệ tính tỷ giá';</v>
      </c>
    </row>
    <row r="13" spans="1:13">
      <c r="A13" s="16"/>
      <c r="B13" s="258" t="s">
        <v>1829</v>
      </c>
      <c r="C13" s="24" t="s">
        <v>1840</v>
      </c>
      <c r="D13" s="258" t="s">
        <v>1128</v>
      </c>
      <c r="E13" s="258" t="s">
        <v>178</v>
      </c>
      <c r="F13" s="311" t="s">
        <v>1620</v>
      </c>
      <c r="G13" s="16" t="s">
        <v>179</v>
      </c>
      <c r="H13" s="285" t="s">
        <v>1619</v>
      </c>
      <c r="I13" s="311" t="s">
        <v>1106</v>
      </c>
      <c r="J13" s="16">
        <v>13.7</v>
      </c>
      <c r="K13" s="311" t="s">
        <v>1841</v>
      </c>
      <c r="M13" s="13" t="str">
        <f>"COMMENT ON COLUMN PG_SILVER."&amp;G13&amp;"."&amp;H13&amp;" IS '"&amp;K13&amp;"';"</f>
        <v>COMMENT ON COLUMN PG_SILVER.EXG_RATE.MID_RATE IS 'Tỷ giá mid';</v>
      </c>
    </row>
    <row r="14" spans="1:13">
      <c r="I14" s="25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64D79"/>
    <outlinePr summaryBelow="0" summaryRight="0"/>
  </sheetPr>
  <dimension ref="A1:M24"/>
  <sheetViews>
    <sheetView workbookViewId="0"/>
  </sheetViews>
  <sheetFormatPr defaultColWidth="14.42578125" defaultRowHeight="15" customHeight="1"/>
  <cols>
    <col min="2" max="2" width="38.42578125" style="259" customWidth="1"/>
    <col min="3" max="3" width="21.42578125" style="259" customWidth="1"/>
    <col min="4" max="4" width="53.5703125" style="259" customWidth="1"/>
    <col min="5" max="5" width="37.28515625" style="259" customWidth="1"/>
    <col min="6" max="6" width="36" style="259" customWidth="1"/>
    <col min="8" max="8" width="20" style="259" customWidth="1"/>
    <col min="11" max="11" width="34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81" t="s">
        <v>1302</v>
      </c>
      <c r="B3" s="281" t="s">
        <v>70</v>
      </c>
      <c r="C3" s="281" t="s">
        <v>1061</v>
      </c>
      <c r="D3" s="42"/>
      <c r="E3" s="28"/>
      <c r="F3" s="28"/>
      <c r="G3" s="28"/>
      <c r="H3" s="28"/>
      <c r="I3" s="28"/>
      <c r="J3" s="28"/>
      <c r="K3" s="28"/>
    </row>
    <row r="4" spans="1:13">
      <c r="A4" s="281" t="s">
        <v>1302</v>
      </c>
      <c r="B4" s="311" t="s">
        <v>75</v>
      </c>
      <c r="C4" s="281" t="s">
        <v>1063</v>
      </c>
      <c r="D4" s="42" t="s">
        <v>1842</v>
      </c>
      <c r="E4" s="28"/>
      <c r="F4" s="28"/>
      <c r="G4" s="28"/>
      <c r="H4" s="28"/>
      <c r="I4" s="28"/>
      <c r="J4" s="28"/>
      <c r="K4" s="28"/>
    </row>
    <row r="5" spans="1:13">
      <c r="A5" s="230"/>
      <c r="B5" s="230"/>
      <c r="C5" s="230"/>
      <c r="D5" s="230"/>
      <c r="E5" s="230"/>
      <c r="F5" s="230"/>
      <c r="G5" s="230"/>
      <c r="H5" s="230"/>
      <c r="I5" s="230"/>
      <c r="J5" s="230"/>
      <c r="K5" s="230"/>
    </row>
    <row r="6" spans="1:13">
      <c r="A6" s="34" t="s">
        <v>1058</v>
      </c>
      <c r="B6" s="34" t="s">
        <v>1059</v>
      </c>
      <c r="C6" s="34" t="s">
        <v>1065</v>
      </c>
      <c r="D6" s="34" t="s">
        <v>1066</v>
      </c>
      <c r="E6" s="34" t="s">
        <v>1067</v>
      </c>
      <c r="F6" s="34" t="s">
        <v>1068</v>
      </c>
      <c r="G6" s="34" t="s">
        <v>1069</v>
      </c>
      <c r="H6" s="34" t="s">
        <v>1070</v>
      </c>
      <c r="I6" s="34" t="s">
        <v>1071</v>
      </c>
      <c r="J6" s="34" t="s">
        <v>1072</v>
      </c>
      <c r="K6" s="34" t="s">
        <v>1073</v>
      </c>
    </row>
    <row r="7" spans="1:13">
      <c r="A7" s="13"/>
      <c r="B7" s="18"/>
      <c r="C7" s="13"/>
      <c r="D7" s="13" t="s">
        <v>1843</v>
      </c>
      <c r="E7" s="258" t="s">
        <v>79</v>
      </c>
      <c r="F7" s="13" t="s">
        <v>1844</v>
      </c>
      <c r="G7" s="146" t="s">
        <v>80</v>
      </c>
      <c r="H7" s="162" t="s">
        <v>1845</v>
      </c>
      <c r="I7" s="16" t="s">
        <v>1079</v>
      </c>
      <c r="J7" s="18">
        <v>40</v>
      </c>
      <c r="K7" s="18" t="s">
        <v>1846</v>
      </c>
      <c r="M7" s="13" t="str">
        <f>"COMMENT ON COLUMN PG_GOLD."&amp;G7&amp;"."&amp;H7&amp;" IS '"&amp;K7&amp;"';"</f>
        <v>COMMENT ON COLUMN PG_GOLD.DIM_LOAN_AR.DIM_KEY IS 'Key của bảng';</v>
      </c>
    </row>
    <row r="8" spans="1:13">
      <c r="A8" s="281" t="s">
        <v>1302</v>
      </c>
      <c r="B8" s="281" t="s">
        <v>70</v>
      </c>
      <c r="C8" s="258" t="s">
        <v>1078</v>
      </c>
      <c r="D8" s="258" t="s">
        <v>1128</v>
      </c>
      <c r="E8" s="258" t="s">
        <v>79</v>
      </c>
      <c r="F8" s="258" t="s">
        <v>1077</v>
      </c>
      <c r="G8" s="146" t="s">
        <v>80</v>
      </c>
      <c r="H8" s="146" t="s">
        <v>1078</v>
      </c>
      <c r="I8" s="16" t="s">
        <v>1079</v>
      </c>
      <c r="J8" s="16">
        <v>32</v>
      </c>
      <c r="K8" s="311" t="s">
        <v>1733</v>
      </c>
      <c r="M8" s="13" t="str">
        <f>"COMMENT ON COLUMN PG_GOLD."&amp;G8&amp;"."&amp;H8&amp;" IS '"&amp;K8&amp;"';"</f>
        <v>COMMENT ON COLUMN PG_GOLD.DIM_LOAN_AR.AR_ID IS 'Unique key trên DWH';</v>
      </c>
    </row>
    <row r="9" spans="1:13">
      <c r="A9" s="281" t="s">
        <v>1302</v>
      </c>
      <c r="B9" s="281" t="s">
        <v>70</v>
      </c>
      <c r="C9" s="285" t="s">
        <v>1082</v>
      </c>
      <c r="D9" s="258" t="s">
        <v>1128</v>
      </c>
      <c r="E9" s="258" t="s">
        <v>79</v>
      </c>
      <c r="F9" s="258" t="s">
        <v>928</v>
      </c>
      <c r="G9" s="146" t="s">
        <v>80</v>
      </c>
      <c r="H9" s="146" t="s">
        <v>1082</v>
      </c>
      <c r="I9" s="16" t="s">
        <v>1327</v>
      </c>
      <c r="J9" s="16">
        <v>40</v>
      </c>
      <c r="K9" s="285" t="s">
        <v>249</v>
      </c>
      <c r="M9" s="13" t="str">
        <f>"COMMENT ON COLUMN PG_GOLD."&amp;G9&amp;"."&amp;H9&amp;" IS '"&amp;K9&amp;"';"</f>
        <v>COMMENT ON COLUMN PG_GOLD.DIM_LOAN_AR.AR_CODE IS 'Mã hợp đồng';</v>
      </c>
    </row>
    <row r="10" spans="1:13">
      <c r="A10" s="281" t="s">
        <v>1302</v>
      </c>
      <c r="B10" s="281" t="s">
        <v>70</v>
      </c>
      <c r="C10" s="146" t="s">
        <v>1548</v>
      </c>
      <c r="D10" s="258" t="s">
        <v>1128</v>
      </c>
      <c r="E10" s="258" t="s">
        <v>79</v>
      </c>
      <c r="F10" s="285" t="s">
        <v>877</v>
      </c>
      <c r="G10" s="146" t="s">
        <v>80</v>
      </c>
      <c r="H10" s="146" t="s">
        <v>1548</v>
      </c>
      <c r="I10" s="16" t="s">
        <v>1327</v>
      </c>
      <c r="J10" s="16">
        <v>20</v>
      </c>
      <c r="K10" s="258" t="s">
        <v>735</v>
      </c>
      <c r="M10" s="13" t="str">
        <f>"COMMENT ON COLUMN PG_GOLD."&amp;G10&amp;"."&amp;H10&amp;" IS '"&amp;K10&amp;"';"</f>
        <v>COMMENT ON COLUMN PG_GOLD.DIM_LOAN_AR.FCC_AR_CODE IS 'Mã hợp đồng FlexCube';</v>
      </c>
    </row>
    <row r="11" spans="1:13">
      <c r="A11" s="281" t="s">
        <v>1302</v>
      </c>
      <c r="B11" s="281" t="s">
        <v>70</v>
      </c>
      <c r="C11" s="146" t="s">
        <v>1518</v>
      </c>
      <c r="D11" s="258" t="s">
        <v>1128</v>
      </c>
      <c r="E11" s="258" t="s">
        <v>79</v>
      </c>
      <c r="F11" s="285" t="s">
        <v>887</v>
      </c>
      <c r="G11" s="146" t="s">
        <v>80</v>
      </c>
      <c r="H11" s="146" t="s">
        <v>1518</v>
      </c>
      <c r="I11" s="16" t="s">
        <v>1327</v>
      </c>
      <c r="J11" s="16">
        <v>100</v>
      </c>
      <c r="K11" s="258" t="s">
        <v>935</v>
      </c>
      <c r="M11" s="13" t="str">
        <f>"COMMENT ON COLUMN PG_GOLD."&amp;G11&amp;"."&amp;H11&amp;" IS '"&amp;K11&amp;"';"</f>
        <v>COMMENT ON COLUMN PG_GOLD.DIM_LOAN_AR.PPR_CTR_NBR IS 'Mã hồ sơ';</v>
      </c>
    </row>
    <row r="12" spans="1:13">
      <c r="A12" s="281" t="s">
        <v>1302</v>
      </c>
      <c r="B12" s="281" t="s">
        <v>75</v>
      </c>
      <c r="C12" s="146" t="s">
        <v>1524</v>
      </c>
      <c r="D12" s="258" t="s">
        <v>1128</v>
      </c>
      <c r="E12" s="258" t="s">
        <v>79</v>
      </c>
      <c r="F12" s="285" t="s">
        <v>930</v>
      </c>
      <c r="G12" s="146" t="s">
        <v>80</v>
      </c>
      <c r="H12" s="146" t="s">
        <v>1524</v>
      </c>
      <c r="I12" s="16" t="s">
        <v>1327</v>
      </c>
      <c r="J12" s="16">
        <v>20</v>
      </c>
      <c r="K12" s="258" t="s">
        <v>929</v>
      </c>
      <c r="M12" s="13" t="str">
        <f>"COMMENT ON COLUMN PG_GOLD."&amp;G12&amp;"."&amp;H12&amp;" IS '"&amp;K12&amp;"';"</f>
        <v>COMMENT ON COLUMN PG_GOLD.DIM_LOAN_AR.AR_LCS_TP_CODE IS 'Trạng thái';</v>
      </c>
    </row>
    <row r="13" spans="1:13">
      <c r="A13" s="281" t="s">
        <v>1302</v>
      </c>
      <c r="B13" s="281" t="s">
        <v>70</v>
      </c>
      <c r="C13" s="146" t="s">
        <v>1646</v>
      </c>
      <c r="D13" s="258" t="s">
        <v>1128</v>
      </c>
      <c r="E13" s="258" t="s">
        <v>79</v>
      </c>
      <c r="F13" s="285" t="s">
        <v>932</v>
      </c>
      <c r="G13" s="146" t="s">
        <v>80</v>
      </c>
      <c r="H13" s="146" t="s">
        <v>1646</v>
      </c>
      <c r="I13" s="16" t="s">
        <v>1327</v>
      </c>
      <c r="J13" s="16">
        <v>20</v>
      </c>
      <c r="K13" s="285" t="s">
        <v>1847</v>
      </c>
      <c r="M13" s="13" t="str">
        <f>"COMMENT ON COLUMN PG_GOLD."&amp;G13&amp;"."&amp;H13&amp;" IS '"&amp;K13&amp;"';"</f>
        <v>COMMENT ON COLUMN PG_GOLD.DIM_LOAN_AR.AR_PPS_GRP_CODE IS 'Mã nhóm mục đích vay';</v>
      </c>
    </row>
    <row r="14" spans="1:13">
      <c r="A14" s="281" t="s">
        <v>1302</v>
      </c>
      <c r="B14" s="281" t="s">
        <v>70</v>
      </c>
      <c r="C14" s="146" t="s">
        <v>1594</v>
      </c>
      <c r="D14" s="258" t="s">
        <v>1128</v>
      </c>
      <c r="E14" s="258" t="s">
        <v>79</v>
      </c>
      <c r="F14" s="285" t="s">
        <v>683</v>
      </c>
      <c r="G14" s="146" t="s">
        <v>80</v>
      </c>
      <c r="H14" s="146" t="s">
        <v>1594</v>
      </c>
      <c r="I14" s="16" t="s">
        <v>1327</v>
      </c>
      <c r="J14" s="16">
        <v>20</v>
      </c>
      <c r="K14" s="285" t="s">
        <v>1848</v>
      </c>
      <c r="M14" s="13" t="str">
        <f>"COMMENT ON COLUMN PG_GOLD."&amp;G14&amp;"."&amp;H14&amp;" IS '"&amp;K14&amp;"';"</f>
        <v>COMMENT ON COLUMN PG_GOLD.DIM_LOAN_AR.AR_PPS_TP_CODE IS 'Mã mụ̣c đích vay';</v>
      </c>
    </row>
    <row r="15" spans="1:13">
      <c r="A15" s="281" t="s">
        <v>1302</v>
      </c>
      <c r="B15" s="281" t="s">
        <v>70</v>
      </c>
      <c r="C15" s="146" t="s">
        <v>1712</v>
      </c>
      <c r="D15" s="258" t="s">
        <v>1128</v>
      </c>
      <c r="E15" s="258" t="s">
        <v>79</v>
      </c>
      <c r="F15" s="285" t="s">
        <v>880</v>
      </c>
      <c r="G15" s="146" t="s">
        <v>80</v>
      </c>
      <c r="H15" s="146" t="s">
        <v>1712</v>
      </c>
      <c r="I15" s="16" t="s">
        <v>1106</v>
      </c>
      <c r="J15" s="16">
        <v>20</v>
      </c>
      <c r="K15" s="285" t="s">
        <v>1849</v>
      </c>
      <c r="M15" s="13" t="str">
        <f>"COMMENT ON COLUMN PG_GOLD."&amp;G15&amp;"."&amp;H15&amp;" IS '"&amp;K15&amp;"';"</f>
        <v>COMMENT ON COLUMN PG_GOLD.DIM_LOAN_AR.ORIG_AMT_FCY IS 'Giá trị phê duyệt';</v>
      </c>
    </row>
    <row r="16" spans="1:13">
      <c r="A16" s="281" t="s">
        <v>1302</v>
      </c>
      <c r="B16" s="281" t="s">
        <v>70</v>
      </c>
      <c r="C16" s="146" t="s">
        <v>1517</v>
      </c>
      <c r="D16" s="258" t="s">
        <v>1128</v>
      </c>
      <c r="E16" s="258" t="s">
        <v>79</v>
      </c>
      <c r="F16" s="285" t="s">
        <v>748</v>
      </c>
      <c r="G16" s="146" t="s">
        <v>80</v>
      </c>
      <c r="H16" s="146" t="s">
        <v>1517</v>
      </c>
      <c r="I16" s="16" t="s">
        <v>1327</v>
      </c>
      <c r="J16" s="16">
        <v>20</v>
      </c>
      <c r="K16" s="285" t="s">
        <v>1850</v>
      </c>
      <c r="M16" s="13" t="str">
        <f>"COMMENT ON COLUMN PG_GOLD."&amp;G16&amp;"."&amp;H16&amp;" IS '"&amp;K16&amp;"';"</f>
        <v>COMMENT ON COLUMN PG_GOLD.DIM_LOAN_AR.PD_CGY_CODE IS 'Mã phân loại sản phẩm';</v>
      </c>
    </row>
    <row r="17" spans="1:13">
      <c r="A17" s="281" t="s">
        <v>1302</v>
      </c>
      <c r="B17" s="281" t="s">
        <v>75</v>
      </c>
      <c r="C17" s="285" t="s">
        <v>1668</v>
      </c>
      <c r="D17" s="258" t="s">
        <v>1128</v>
      </c>
      <c r="E17" s="258" t="s">
        <v>79</v>
      </c>
      <c r="F17" s="16" t="s">
        <v>1851</v>
      </c>
      <c r="G17" s="146" t="s">
        <v>80</v>
      </c>
      <c r="H17" s="16" t="s">
        <v>1852</v>
      </c>
      <c r="I17" s="16" t="s">
        <v>1327</v>
      </c>
      <c r="J17" s="16">
        <v>20</v>
      </c>
      <c r="K17" s="16" t="s">
        <v>1853</v>
      </c>
      <c r="M17" s="13" t="str">
        <f>"COMMENT ON COLUMN PG_GOLD."&amp;G17&amp;"."&amp;H17&amp;" IS '"&amp;K17&amp;"';"</f>
        <v>COMMENT ON COLUMN PG_GOLD.DIM_LOAN_AR.PROM_CODE IS 'Mã chương trình KM cho vay';</v>
      </c>
    </row>
    <row r="18" spans="1:13">
      <c r="A18" s="281" t="s">
        <v>1302</v>
      </c>
      <c r="B18" s="281" t="s">
        <v>75</v>
      </c>
      <c r="C18" s="285" t="s">
        <v>1671</v>
      </c>
      <c r="D18" s="258" t="s">
        <v>1128</v>
      </c>
      <c r="E18" s="258" t="s">
        <v>79</v>
      </c>
      <c r="F18" s="16" t="s">
        <v>1854</v>
      </c>
      <c r="G18" s="146" t="s">
        <v>80</v>
      </c>
      <c r="H18" s="16" t="s">
        <v>1855</v>
      </c>
      <c r="I18" s="16" t="s">
        <v>1327</v>
      </c>
      <c r="J18" s="16">
        <v>20</v>
      </c>
      <c r="K18" s="258" t="s">
        <v>712</v>
      </c>
      <c r="M18" s="13" t="str">
        <f>"COMMENT ON COLUMN PG_GOLD."&amp;G18&amp;"."&amp;H18&amp;" IS '"&amp;K18&amp;"';"</f>
        <v>COMMENT ON COLUMN PG_GOLD.DIM_LOAN_AR.PROM_CODE_2 IS 'Mã CTKM2';</v>
      </c>
    </row>
    <row r="19" spans="1:13">
      <c r="A19" s="281" t="s">
        <v>1302</v>
      </c>
      <c r="B19" s="281" t="s">
        <v>70</v>
      </c>
      <c r="C19" s="146" t="s">
        <v>267</v>
      </c>
      <c r="D19" s="258" t="s">
        <v>1128</v>
      </c>
      <c r="E19" s="258" t="s">
        <v>79</v>
      </c>
      <c r="F19" s="16" t="s">
        <v>913</v>
      </c>
      <c r="G19" s="146" t="s">
        <v>80</v>
      </c>
      <c r="H19" s="16" t="s">
        <v>267</v>
      </c>
      <c r="I19" s="16" t="s">
        <v>1327</v>
      </c>
      <c r="J19" s="16">
        <v>20</v>
      </c>
      <c r="K19" s="16" t="s">
        <v>1856</v>
      </c>
      <c r="M19" s="13" t="str">
        <f>"COMMENT ON COLUMN PG_GOLD."&amp;G19&amp;"."&amp;H19&amp;" IS '"&amp;K19&amp;"';"</f>
        <v>COMMENT ON COLUMN PG_GOLD.DIM_LOAN_AR.TERM_CODE IS 'Kỳ hạn';</v>
      </c>
    </row>
    <row r="20" spans="1:13">
      <c r="A20" s="281" t="s">
        <v>1302</v>
      </c>
      <c r="B20" s="281" t="s">
        <v>70</v>
      </c>
      <c r="C20" s="146" t="s">
        <v>1533</v>
      </c>
      <c r="D20" s="258" t="s">
        <v>1128</v>
      </c>
      <c r="E20" s="258" t="s">
        <v>79</v>
      </c>
      <c r="F20" s="258" t="s">
        <v>919</v>
      </c>
      <c r="G20" s="146" t="s">
        <v>80</v>
      </c>
      <c r="H20" s="258" t="s">
        <v>1533</v>
      </c>
      <c r="I20" s="16" t="s">
        <v>519</v>
      </c>
      <c r="J20" s="258"/>
      <c r="K20" s="258" t="s">
        <v>1857</v>
      </c>
      <c r="M20" s="13" t="str">
        <f>"COMMENT ON COLUMN PG_GOLD."&amp;G20&amp;"."&amp;H20&amp;" IS '"&amp;K20&amp;"';"</f>
        <v>COMMENT ON COLUMN PG_GOLD.DIM_LOAN_AR.VAL_DT IS 'Ngày hiệu lực đầu tiên của hợp đồng';</v>
      </c>
    </row>
    <row r="21" spans="1:13">
      <c r="A21" s="281" t="s">
        <v>1302</v>
      </c>
      <c r="B21" s="281" t="s">
        <v>70</v>
      </c>
      <c r="C21" s="146" t="s">
        <v>1515</v>
      </c>
      <c r="D21" s="258" t="s">
        <v>1128</v>
      </c>
      <c r="E21" s="258" t="s">
        <v>79</v>
      </c>
      <c r="F21" s="258" t="s">
        <v>791</v>
      </c>
      <c r="G21" s="146" t="s">
        <v>80</v>
      </c>
      <c r="H21" s="258" t="s">
        <v>1515</v>
      </c>
      <c r="I21" s="16" t="s">
        <v>519</v>
      </c>
      <c r="J21" s="258"/>
      <c r="K21" s="258" t="s">
        <v>1858</v>
      </c>
      <c r="M21" s="13" t="str">
        <f>"COMMENT ON COLUMN PG_GOLD."&amp;G21&amp;"."&amp;H21&amp;" IS '"&amp;K21&amp;"';"</f>
        <v>COMMENT ON COLUMN PG_GOLD.DIM_LOAN_AR.EFF_DT IS 'Ngaày hiệu lực hợp đồng';</v>
      </c>
    </row>
    <row r="22" spans="1:13">
      <c r="A22" s="281" t="s">
        <v>1302</v>
      </c>
      <c r="B22" s="281" t="s">
        <v>70</v>
      </c>
      <c r="C22" s="146" t="s">
        <v>1482</v>
      </c>
      <c r="D22" s="258" t="s">
        <v>1128</v>
      </c>
      <c r="E22" s="258" t="s">
        <v>79</v>
      </c>
      <c r="F22" s="258" t="s">
        <v>897</v>
      </c>
      <c r="G22" s="146" t="s">
        <v>80</v>
      </c>
      <c r="H22" s="258" t="s">
        <v>1482</v>
      </c>
      <c r="I22" s="16" t="s">
        <v>519</v>
      </c>
      <c r="J22" s="258"/>
      <c r="K22" s="258" t="s">
        <v>1530</v>
      </c>
      <c r="M22" s="13" t="str">
        <f>"COMMENT ON COLUMN PG_GOLD."&amp;G22&amp;"."&amp;H22&amp;" IS '"&amp;K22&amp;"';"</f>
        <v>COMMENT ON COLUMN PG_GOLD.DIM_LOAN_AR.MAT_DT IS 'Ngày đáo hạn hợp đồng';</v>
      </c>
    </row>
    <row r="23" spans="1:13">
      <c r="A23" s="281"/>
      <c r="B23" s="281"/>
      <c r="C23" s="258"/>
      <c r="D23" s="258"/>
      <c r="E23" s="258" t="s">
        <v>79</v>
      </c>
      <c r="F23" s="258" t="s">
        <v>1290</v>
      </c>
      <c r="G23" s="146" t="s">
        <v>80</v>
      </c>
      <c r="H23" s="16" t="s">
        <v>1291</v>
      </c>
      <c r="I23" s="16" t="s">
        <v>519</v>
      </c>
      <c r="J23" s="258"/>
      <c r="K23" s="258"/>
    </row>
    <row r="24" spans="1:13">
      <c r="A24" s="281"/>
      <c r="B24" s="281"/>
      <c r="C24" s="258"/>
      <c r="D24" s="258"/>
      <c r="E24" s="258" t="s">
        <v>79</v>
      </c>
      <c r="F24" s="258" t="s">
        <v>1294</v>
      </c>
      <c r="G24" s="146" t="s">
        <v>80</v>
      </c>
      <c r="H24" s="16" t="s">
        <v>1295</v>
      </c>
      <c r="I24" s="16" t="s">
        <v>519</v>
      </c>
      <c r="J24" s="258"/>
      <c r="K24" s="258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64D79"/>
    <outlinePr summaryBelow="0" summaryRight="0"/>
  </sheetPr>
  <dimension ref="A1:M13"/>
  <sheetViews>
    <sheetView workbookViewId="0"/>
  </sheetViews>
  <sheetFormatPr defaultColWidth="14.42578125" defaultRowHeight="15" customHeight="1"/>
  <cols>
    <col min="2" max="2" width="8.28515625" style="259" customWidth="1"/>
    <col min="3" max="3" width="18.42578125" style="259" customWidth="1"/>
    <col min="4" max="4" width="54" style="259" customWidth="1"/>
    <col min="5" max="5" width="37.28515625" style="259" customWidth="1"/>
    <col min="6" max="6" width="29" style="259" customWidth="1"/>
    <col min="8" max="8" width="20" style="259" customWidth="1"/>
    <col min="11" max="11" width="34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81" t="s">
        <v>1302</v>
      </c>
      <c r="B3" s="146" t="s">
        <v>108</v>
      </c>
      <c r="C3" s="281"/>
      <c r="D3" s="42"/>
      <c r="E3" s="28"/>
      <c r="F3" s="28"/>
      <c r="G3" s="28"/>
      <c r="H3" s="28"/>
      <c r="I3" s="28"/>
      <c r="J3" s="28"/>
      <c r="K3" s="28"/>
    </row>
    <row r="4" spans="1:13">
      <c r="A4" s="311"/>
      <c r="B4" s="311"/>
      <c r="C4" s="281"/>
      <c r="D4" s="42"/>
      <c r="E4" s="28"/>
      <c r="F4" s="28"/>
      <c r="G4" s="28"/>
      <c r="H4" s="28"/>
      <c r="I4" s="28"/>
      <c r="J4" s="28"/>
      <c r="K4" s="28"/>
    </row>
    <row r="5" spans="1:13">
      <c r="A5" s="230"/>
      <c r="B5" s="230"/>
      <c r="C5" s="230"/>
      <c r="D5" s="230"/>
      <c r="E5" s="230"/>
      <c r="F5" s="230"/>
      <c r="G5" s="230"/>
      <c r="H5" s="230"/>
      <c r="I5" s="230"/>
      <c r="J5" s="230"/>
      <c r="K5" s="230"/>
    </row>
    <row r="6" spans="1:13">
      <c r="A6" s="34" t="s">
        <v>1058</v>
      </c>
      <c r="B6" s="34" t="s">
        <v>1059</v>
      </c>
      <c r="C6" s="34" t="s">
        <v>1065</v>
      </c>
      <c r="D6" s="34" t="s">
        <v>1066</v>
      </c>
      <c r="E6" s="34" t="s">
        <v>1067</v>
      </c>
      <c r="F6" s="34" t="s">
        <v>1068</v>
      </c>
      <c r="G6" s="34" t="s">
        <v>1069</v>
      </c>
      <c r="H6" s="34" t="s">
        <v>1070</v>
      </c>
      <c r="I6" s="34" t="s">
        <v>1071</v>
      </c>
      <c r="J6" s="34" t="s">
        <v>1072</v>
      </c>
      <c r="K6" s="34" t="s">
        <v>1073</v>
      </c>
    </row>
    <row r="7" spans="1:13">
      <c r="A7" s="281" t="s">
        <v>1302</v>
      </c>
      <c r="B7" s="146" t="s">
        <v>108</v>
      </c>
      <c r="C7" s="146" t="s">
        <v>1859</v>
      </c>
      <c r="D7" s="258" t="s">
        <v>1860</v>
      </c>
      <c r="E7" s="258" t="s">
        <v>112</v>
      </c>
      <c r="F7" s="13" t="s">
        <v>1844</v>
      </c>
      <c r="G7" s="146" t="s">
        <v>113</v>
      </c>
      <c r="H7" s="162" t="s">
        <v>1845</v>
      </c>
      <c r="I7" s="16" t="s">
        <v>1079</v>
      </c>
      <c r="J7" s="18">
        <v>40</v>
      </c>
      <c r="K7" s="18" t="s">
        <v>1846</v>
      </c>
      <c r="M7" s="13" t="str">
        <f>"COMMENT ON COLUMN PG_GOLD."&amp;G7&amp;"."&amp;H7&amp;" IS '"&amp;K7&amp;"';"</f>
        <v>COMMENT ON COLUMN PG_GOLD.DIM_OU.DIM_KEY IS 'Key của bảng';</v>
      </c>
    </row>
    <row r="8" spans="1:13">
      <c r="A8" s="281" t="s">
        <v>1302</v>
      </c>
      <c r="B8" s="146" t="s">
        <v>108</v>
      </c>
      <c r="C8" s="146" t="s">
        <v>1859</v>
      </c>
      <c r="D8" s="258" t="s">
        <v>1128</v>
      </c>
      <c r="E8" s="258" t="s">
        <v>112</v>
      </c>
      <c r="F8" s="258" t="s">
        <v>1861</v>
      </c>
      <c r="G8" s="146" t="s">
        <v>113</v>
      </c>
      <c r="H8" s="146" t="s">
        <v>1859</v>
      </c>
      <c r="I8" s="16" t="s">
        <v>1079</v>
      </c>
      <c r="J8" s="16">
        <v>32</v>
      </c>
      <c r="K8" s="16" t="s">
        <v>1862</v>
      </c>
      <c r="M8" s="13" t="str">
        <f>"COMMENT ON COLUMN PG_GOLD."&amp;G8&amp;"."&amp;H8&amp;" IS '"&amp;K8&amp;"';"</f>
        <v>COMMENT ON COLUMN PG_GOLD.DIM_OU.OU_ID IS 'ID của chi nhánh';</v>
      </c>
    </row>
    <row r="9" spans="1:13">
      <c r="A9" s="281" t="s">
        <v>1302</v>
      </c>
      <c r="B9" s="146" t="s">
        <v>108</v>
      </c>
      <c r="C9" s="146" t="s">
        <v>1358</v>
      </c>
      <c r="D9" s="258" t="s">
        <v>1128</v>
      </c>
      <c r="E9" s="258" t="s">
        <v>112</v>
      </c>
      <c r="F9" s="258" t="s">
        <v>750</v>
      </c>
      <c r="G9" s="146" t="s">
        <v>113</v>
      </c>
      <c r="H9" s="146" t="s">
        <v>1358</v>
      </c>
      <c r="I9" s="16" t="s">
        <v>1327</v>
      </c>
      <c r="J9" s="16">
        <v>20</v>
      </c>
      <c r="K9" s="258" t="s">
        <v>1863</v>
      </c>
      <c r="M9" s="13" t="str">
        <f>"COMMENT ON COLUMN PG_GOLD."&amp;G9&amp;"."&amp;H9&amp;" IS '"&amp;K9&amp;"';"</f>
        <v>COMMENT ON COLUMN PG_GOLD.DIM_OU.OU_CODE IS 'Mã chi nhánh';</v>
      </c>
    </row>
    <row r="10" spans="1:13">
      <c r="A10" s="281" t="s">
        <v>1302</v>
      </c>
      <c r="B10" s="146" t="s">
        <v>108</v>
      </c>
      <c r="C10" s="146" t="s">
        <v>1697</v>
      </c>
      <c r="D10" s="258" t="s">
        <v>1128</v>
      </c>
      <c r="E10" s="258" t="s">
        <v>112</v>
      </c>
      <c r="F10" s="285" t="s">
        <v>770</v>
      </c>
      <c r="G10" s="146" t="s">
        <v>113</v>
      </c>
      <c r="H10" s="146" t="s">
        <v>1697</v>
      </c>
      <c r="I10" s="16" t="s">
        <v>1327</v>
      </c>
      <c r="J10" s="16">
        <v>300</v>
      </c>
      <c r="K10" s="285" t="s">
        <v>1698</v>
      </c>
      <c r="M10" s="13" t="str">
        <f>"COMMENT ON COLUMN PG_GOLD."&amp;G10&amp;"."&amp;H10&amp;" IS '"&amp;K10&amp;"';"</f>
        <v>COMMENT ON COLUMN PG_GOLD.DIM_OU.OU_NM IS 'Tên chi nhánh';</v>
      </c>
    </row>
    <row r="11" spans="1:13">
      <c r="A11" s="258"/>
      <c r="B11" s="146"/>
      <c r="C11" s="16"/>
      <c r="D11" s="258"/>
      <c r="E11" s="258" t="s">
        <v>112</v>
      </c>
      <c r="F11" s="285" t="s">
        <v>1290</v>
      </c>
      <c r="G11" s="146" t="s">
        <v>113</v>
      </c>
      <c r="H11" s="16" t="s">
        <v>1291</v>
      </c>
      <c r="I11" s="16" t="s">
        <v>519</v>
      </c>
    </row>
    <row r="12" spans="1:13">
      <c r="A12" s="258"/>
      <c r="B12" s="146"/>
      <c r="C12" s="16"/>
      <c r="D12" s="258"/>
      <c r="E12" s="258" t="s">
        <v>112</v>
      </c>
      <c r="F12" s="285" t="s">
        <v>1294</v>
      </c>
      <c r="G12" s="146" t="s">
        <v>113</v>
      </c>
      <c r="H12" s="16" t="s">
        <v>1295</v>
      </c>
      <c r="I12" s="16" t="s">
        <v>519</v>
      </c>
    </row>
    <row r="13" spans="1:13">
      <c r="C13" s="18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A64D79"/>
    <outlinePr summaryBelow="0" summaryRight="0"/>
  </sheetPr>
  <dimension ref="A1:M11"/>
  <sheetViews>
    <sheetView workbookViewId="0"/>
  </sheetViews>
  <sheetFormatPr defaultColWidth="14.42578125" defaultRowHeight="15" customHeight="1"/>
  <cols>
    <col min="1" max="1" width="12" style="259" customWidth="1"/>
    <col min="2" max="2" width="21.5703125" style="259" customWidth="1"/>
    <col min="3" max="3" width="18.42578125" style="259" customWidth="1"/>
    <col min="4" max="4" width="57.28515625" style="259" customWidth="1"/>
    <col min="5" max="5" width="37.28515625" style="259" customWidth="1"/>
    <col min="6" max="6" width="29" style="259" customWidth="1"/>
    <col min="8" max="8" width="20" style="259" customWidth="1"/>
    <col min="11" max="11" width="34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81" t="s">
        <v>1302</v>
      </c>
      <c r="B3" s="48" t="s">
        <v>123</v>
      </c>
      <c r="C3" s="281" t="s">
        <v>1864</v>
      </c>
      <c r="D3" s="42"/>
      <c r="E3" s="28"/>
      <c r="F3" s="28"/>
      <c r="G3" s="28"/>
      <c r="H3" s="28"/>
      <c r="I3" s="28"/>
      <c r="J3" s="28"/>
      <c r="K3" s="28"/>
    </row>
    <row r="4" spans="1:13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13">
      <c r="A5" s="34" t="s">
        <v>1058</v>
      </c>
      <c r="B5" s="34" t="s">
        <v>1059</v>
      </c>
      <c r="C5" s="34" t="s">
        <v>1065</v>
      </c>
      <c r="D5" s="34" t="s">
        <v>1066</v>
      </c>
      <c r="E5" s="34" t="s">
        <v>1067</v>
      </c>
      <c r="F5" s="34" t="s">
        <v>1068</v>
      </c>
      <c r="G5" s="34" t="s">
        <v>1069</v>
      </c>
      <c r="H5" s="34" t="s">
        <v>1070</v>
      </c>
      <c r="I5" s="34" t="s">
        <v>1071</v>
      </c>
      <c r="J5" s="34" t="s">
        <v>1072</v>
      </c>
      <c r="K5" s="34" t="s">
        <v>1073</v>
      </c>
    </row>
    <row r="6" spans="1:13">
      <c r="A6" s="281" t="s">
        <v>1302</v>
      </c>
      <c r="B6" s="48" t="s">
        <v>123</v>
      </c>
      <c r="C6" s="258" t="s">
        <v>1865</v>
      </c>
      <c r="D6" s="258" t="s">
        <v>1866</v>
      </c>
      <c r="E6" s="258" t="s">
        <v>127</v>
      </c>
      <c r="F6" s="13" t="s">
        <v>1844</v>
      </c>
      <c r="G6" s="146" t="s">
        <v>128</v>
      </c>
      <c r="H6" s="162" t="s">
        <v>1845</v>
      </c>
      <c r="I6" s="16" t="s">
        <v>1079</v>
      </c>
      <c r="J6" s="18">
        <v>40</v>
      </c>
      <c r="K6" s="18" t="s">
        <v>1846</v>
      </c>
      <c r="M6" s="13" t="str">
        <f>"COMMENT ON COLUMN PG_GOLD."&amp;G6&amp;"."&amp;H6&amp;" IS '"&amp;K6&amp;"';"</f>
        <v>COMMENT ON COLUMN PG_GOLD.DIM_LMT.DIM_KEY IS 'Key của bảng';</v>
      </c>
    </row>
    <row r="7" spans="1:13">
      <c r="A7" s="281" t="s">
        <v>1302</v>
      </c>
      <c r="B7" s="48" t="s">
        <v>123</v>
      </c>
      <c r="C7" s="146" t="s">
        <v>1865</v>
      </c>
      <c r="D7" s="258" t="s">
        <v>1128</v>
      </c>
      <c r="E7" s="258" t="s">
        <v>127</v>
      </c>
      <c r="F7" s="258" t="s">
        <v>1867</v>
      </c>
      <c r="G7" s="146" t="s">
        <v>128</v>
      </c>
      <c r="H7" s="146" t="s">
        <v>1865</v>
      </c>
      <c r="I7" s="16" t="s">
        <v>1079</v>
      </c>
      <c r="J7" s="16">
        <v>32</v>
      </c>
      <c r="K7" s="311" t="s">
        <v>1868</v>
      </c>
      <c r="M7" s="13" t="str">
        <f>"COMMENT ON COLUMN PG_GOLD."&amp;G7&amp;"."&amp;H7&amp;" IS '"&amp;K7&amp;"';"</f>
        <v>COMMENT ON COLUMN PG_GOLD.DIM_LMT.LMT_ID IS 'ID của hạn mức';</v>
      </c>
    </row>
    <row r="8" spans="1:13">
      <c r="A8" s="281" t="s">
        <v>1302</v>
      </c>
      <c r="B8" s="48" t="s">
        <v>123</v>
      </c>
      <c r="C8" s="146" t="s">
        <v>1540</v>
      </c>
      <c r="D8" s="258" t="s">
        <v>1128</v>
      </c>
      <c r="E8" s="258" t="s">
        <v>127</v>
      </c>
      <c r="F8" s="258" t="s">
        <v>1869</v>
      </c>
      <c r="G8" s="146" t="s">
        <v>128</v>
      </c>
      <c r="H8" s="146" t="s">
        <v>1540</v>
      </c>
      <c r="I8" s="16" t="s">
        <v>1327</v>
      </c>
      <c r="J8" s="16">
        <v>32</v>
      </c>
      <c r="K8" s="285" t="s">
        <v>1870</v>
      </c>
      <c r="M8" s="13" t="str">
        <f>"COMMENT ON COLUMN PG_GOLD."&amp;G8&amp;"."&amp;H8&amp;" IS '"&amp;K8&amp;"';"</f>
        <v>COMMENT ON COLUMN PG_GOLD.DIM_LMT.LMT_CODE IS 'Mã hạn mức';</v>
      </c>
    </row>
    <row r="9" spans="1:13">
      <c r="A9" s="311"/>
      <c r="B9" s="311"/>
      <c r="C9" s="146" t="s">
        <v>1871</v>
      </c>
      <c r="D9" s="258" t="s">
        <v>1128</v>
      </c>
      <c r="E9" s="258" t="s">
        <v>127</v>
      </c>
      <c r="F9" s="285" t="s">
        <v>1872</v>
      </c>
      <c r="G9" s="146" t="s">
        <v>128</v>
      </c>
      <c r="H9" s="146" t="s">
        <v>1871</v>
      </c>
      <c r="I9" s="16" t="s">
        <v>1327</v>
      </c>
      <c r="J9" s="16">
        <v>300</v>
      </c>
      <c r="K9" s="285" t="s">
        <v>1873</v>
      </c>
      <c r="M9" s="13" t="str">
        <f>"COMMENT ON COLUMN PG_GOLD."&amp;G9&amp;"."&amp;H9&amp;" IS '"&amp;K9&amp;"';"</f>
        <v>COMMENT ON COLUMN PG_GOLD.DIM_LMT.LMT_DSC IS 'Mô tả hạn mức';</v>
      </c>
    </row>
    <row r="10" spans="1:13">
      <c r="E10" s="258" t="s">
        <v>127</v>
      </c>
      <c r="F10" s="285" t="s">
        <v>1290</v>
      </c>
      <c r="G10" s="146" t="s">
        <v>128</v>
      </c>
      <c r="H10" s="16" t="s">
        <v>1291</v>
      </c>
      <c r="I10" s="16" t="s">
        <v>519</v>
      </c>
    </row>
    <row r="11" spans="1:13">
      <c r="E11" s="258" t="s">
        <v>127</v>
      </c>
      <c r="F11" s="285" t="s">
        <v>1294</v>
      </c>
      <c r="G11" s="146" t="s">
        <v>128</v>
      </c>
      <c r="H11" s="16" t="s">
        <v>1295</v>
      </c>
      <c r="I11" s="16" t="s">
        <v>519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A64D79"/>
    <outlinePr summaryBelow="0" summaryRight="0"/>
  </sheetPr>
  <dimension ref="A1:M12"/>
  <sheetViews>
    <sheetView workbookViewId="0"/>
  </sheetViews>
  <sheetFormatPr defaultColWidth="14.42578125" defaultRowHeight="15" customHeight="1"/>
  <cols>
    <col min="1" max="1" width="10.85546875" style="259" customWidth="1"/>
    <col min="2" max="2" width="10.7109375" style="259" customWidth="1"/>
    <col min="3" max="3" width="19.5703125" style="259" customWidth="1"/>
    <col min="4" max="4" width="55" style="259" customWidth="1"/>
    <col min="5" max="5" width="20.140625" style="259" customWidth="1"/>
    <col min="6" max="6" width="19.7109375" style="259" customWidth="1"/>
    <col min="7" max="7" width="9.85546875" style="259" customWidth="1"/>
    <col min="8" max="8" width="16.28515625" style="259" customWidth="1"/>
    <col min="10" max="10" width="9.42578125" style="259" customWidth="1"/>
    <col min="11" max="11" width="34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81" t="s">
        <v>1302</v>
      </c>
      <c r="B3" s="146" t="s">
        <v>89</v>
      </c>
      <c r="C3" s="281" t="s">
        <v>1874</v>
      </c>
      <c r="D3" s="42"/>
      <c r="E3" s="28"/>
      <c r="F3" s="28"/>
      <c r="G3" s="28"/>
      <c r="H3" s="28"/>
      <c r="I3" s="28"/>
      <c r="J3" s="28"/>
      <c r="K3" s="28"/>
    </row>
    <row r="4" spans="1:13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13">
      <c r="A5" s="34" t="s">
        <v>1058</v>
      </c>
      <c r="B5" s="34" t="s">
        <v>1059</v>
      </c>
      <c r="C5" s="34" t="s">
        <v>1065</v>
      </c>
      <c r="D5" s="34" t="s">
        <v>1066</v>
      </c>
      <c r="E5" s="34" t="s">
        <v>1067</v>
      </c>
      <c r="F5" s="34" t="s">
        <v>1068</v>
      </c>
      <c r="G5" s="34" t="s">
        <v>1069</v>
      </c>
      <c r="H5" s="34" t="s">
        <v>1070</v>
      </c>
      <c r="I5" s="34" t="s">
        <v>1071</v>
      </c>
      <c r="J5" s="34" t="s">
        <v>1072</v>
      </c>
      <c r="K5" s="34" t="s">
        <v>1073</v>
      </c>
    </row>
    <row r="6" spans="1:13">
      <c r="A6" s="281" t="s">
        <v>1302</v>
      </c>
      <c r="B6" s="146" t="s">
        <v>89</v>
      </c>
      <c r="C6" s="146" t="s">
        <v>1875</v>
      </c>
      <c r="D6" s="13" t="s">
        <v>1876</v>
      </c>
      <c r="E6" s="258" t="s">
        <v>93</v>
      </c>
      <c r="F6" s="13" t="s">
        <v>1844</v>
      </c>
      <c r="G6" s="146" t="s">
        <v>94</v>
      </c>
      <c r="H6" s="162" t="s">
        <v>1845</v>
      </c>
      <c r="I6" s="16" t="s">
        <v>1079</v>
      </c>
      <c r="J6" s="18">
        <v>40</v>
      </c>
      <c r="K6" s="18" t="s">
        <v>1846</v>
      </c>
      <c r="M6" s="13" t="str">
        <f>"COMMENT ON COLUMN PG_GOLD."&amp;G6&amp;"."&amp;H6&amp;" IS '"&amp;K6&amp;"';"</f>
        <v>COMMENT ON COLUMN PG_GOLD.DIM_CCY.DIM_KEY IS 'Key của bảng';</v>
      </c>
    </row>
    <row r="7" spans="1:13">
      <c r="A7" s="281" t="s">
        <v>1302</v>
      </c>
      <c r="B7" s="146" t="s">
        <v>89</v>
      </c>
      <c r="C7" s="146" t="s">
        <v>1875</v>
      </c>
      <c r="D7" s="258" t="s">
        <v>1128</v>
      </c>
      <c r="E7" s="258" t="s">
        <v>93</v>
      </c>
      <c r="F7" s="258" t="s">
        <v>1877</v>
      </c>
      <c r="G7" s="146" t="s">
        <v>94</v>
      </c>
      <c r="H7" s="146" t="s">
        <v>1875</v>
      </c>
      <c r="I7" s="16" t="s">
        <v>1079</v>
      </c>
      <c r="J7" s="16">
        <v>32</v>
      </c>
      <c r="K7" s="16" t="s">
        <v>1878</v>
      </c>
      <c r="M7" s="13" t="str">
        <f>"COMMENT ON COLUMN PG_GOLD."&amp;G7&amp;"."&amp;H7&amp;" IS '"&amp;K7&amp;"';"</f>
        <v>COMMENT ON COLUMN PG_GOLD.DIM_CCY.CCY_ID IS 'Mã duy nhất của loại tiền trên DWH';</v>
      </c>
    </row>
    <row r="8" spans="1:13">
      <c r="A8" s="281" t="s">
        <v>1302</v>
      </c>
      <c r="B8" s="146" t="s">
        <v>89</v>
      </c>
      <c r="C8" s="146" t="s">
        <v>281</v>
      </c>
      <c r="D8" s="258" t="s">
        <v>1128</v>
      </c>
      <c r="E8" s="258" t="s">
        <v>93</v>
      </c>
      <c r="F8" s="258" t="s">
        <v>752</v>
      </c>
      <c r="G8" s="146" t="s">
        <v>94</v>
      </c>
      <c r="H8" s="146" t="s">
        <v>281</v>
      </c>
      <c r="I8" s="16" t="s">
        <v>1327</v>
      </c>
      <c r="J8" s="16">
        <v>20</v>
      </c>
      <c r="K8" s="258" t="s">
        <v>1879</v>
      </c>
      <c r="M8" s="13" t="str">
        <f>"COMMENT ON COLUMN PG_GOLD."&amp;G8&amp;"."&amp;H8&amp;" IS '"&amp;K8&amp;"';"</f>
        <v>COMMENT ON COLUMN PG_GOLD.DIM_CCY.CCY_CODE IS 'Mã loại tiền ';</v>
      </c>
    </row>
    <row r="9" spans="1:13">
      <c r="A9" s="281" t="s">
        <v>1302</v>
      </c>
      <c r="B9" s="146" t="s">
        <v>89</v>
      </c>
      <c r="C9" s="146" t="s">
        <v>1880</v>
      </c>
      <c r="D9" s="258" t="s">
        <v>1128</v>
      </c>
      <c r="E9" s="258" t="s">
        <v>93</v>
      </c>
      <c r="F9" s="285" t="s">
        <v>1881</v>
      </c>
      <c r="G9" s="146" t="s">
        <v>94</v>
      </c>
      <c r="H9" s="146" t="s">
        <v>1880</v>
      </c>
      <c r="I9" s="16" t="s">
        <v>1327</v>
      </c>
      <c r="J9" s="16">
        <v>300</v>
      </c>
      <c r="K9" s="285" t="s">
        <v>1882</v>
      </c>
      <c r="M9" s="13" t="str">
        <f>"COMMENT ON COLUMN PG_GOLD."&amp;G9&amp;"."&amp;H9&amp;" IS '"&amp;K9&amp;"';"</f>
        <v>COMMENT ON COLUMN PG_GOLD.DIM_CCY.CCY_NM IS 'Tên loại tiền ';</v>
      </c>
    </row>
    <row r="10" spans="1:13">
      <c r="A10" s="281" t="s">
        <v>1302</v>
      </c>
      <c r="B10" s="146" t="s">
        <v>89</v>
      </c>
      <c r="C10" s="146" t="s">
        <v>1883</v>
      </c>
      <c r="D10" s="258" t="s">
        <v>1128</v>
      </c>
      <c r="E10" s="258" t="s">
        <v>93</v>
      </c>
      <c r="F10" s="258" t="s">
        <v>1884</v>
      </c>
      <c r="G10" s="146" t="s">
        <v>94</v>
      </c>
      <c r="H10" s="146" t="s">
        <v>1883</v>
      </c>
      <c r="I10" s="16" t="s">
        <v>1327</v>
      </c>
      <c r="J10" s="16">
        <v>20</v>
      </c>
      <c r="K10" s="285" t="s">
        <v>1885</v>
      </c>
      <c r="M10" s="13" t="str">
        <f>"COMMENT ON COLUMN PG_GOLD."&amp;G10&amp;"."&amp;H10&amp;" IS '"&amp;K10&amp;"';"</f>
        <v>COMMENT ON COLUMN PG_GOLD.DIM_CCY.NUMERIC_CCY_CODE IS 'Mã tiền tệ dạng số ';</v>
      </c>
    </row>
    <row r="11" spans="1:13">
      <c r="E11" s="258" t="s">
        <v>93</v>
      </c>
      <c r="F11" s="285" t="s">
        <v>1290</v>
      </c>
      <c r="G11" s="146" t="s">
        <v>94</v>
      </c>
      <c r="H11" s="16" t="s">
        <v>1291</v>
      </c>
      <c r="I11" s="16" t="s">
        <v>519</v>
      </c>
    </row>
    <row r="12" spans="1:13">
      <c r="E12" s="258" t="s">
        <v>93</v>
      </c>
      <c r="F12" s="285" t="s">
        <v>1294</v>
      </c>
      <c r="G12" s="146" t="s">
        <v>94</v>
      </c>
      <c r="H12" s="16" t="s">
        <v>1295</v>
      </c>
      <c r="I12" s="16" t="s">
        <v>519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A64D79"/>
    <outlinePr summaryBelow="0" summaryRight="0"/>
  </sheetPr>
  <dimension ref="A1:M12"/>
  <sheetViews>
    <sheetView workbookViewId="0"/>
  </sheetViews>
  <sheetFormatPr defaultColWidth="14.42578125" defaultRowHeight="15" customHeight="1"/>
  <cols>
    <col min="2" max="2" width="38.42578125" style="259" customWidth="1"/>
    <col min="3" max="3" width="21.42578125" style="259" customWidth="1"/>
    <col min="4" max="4" width="57.28515625" style="259" customWidth="1"/>
    <col min="5" max="5" width="37.28515625" style="259" customWidth="1"/>
    <col min="6" max="6" width="29" style="259" customWidth="1"/>
    <col min="8" max="8" width="20" style="259" customWidth="1"/>
    <col min="11" max="11" width="34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81" t="s">
        <v>1302</v>
      </c>
      <c r="B3" s="31" t="s">
        <v>133</v>
      </c>
      <c r="C3" s="281"/>
      <c r="D3" s="42" t="s">
        <v>1886</v>
      </c>
      <c r="E3" s="28"/>
      <c r="F3" s="28"/>
      <c r="G3" s="28"/>
      <c r="H3" s="28"/>
      <c r="I3" s="28"/>
      <c r="J3" s="28"/>
      <c r="K3" s="28"/>
    </row>
    <row r="4" spans="1:13">
      <c r="A4" s="311"/>
      <c r="B4" s="311"/>
      <c r="C4" s="281"/>
      <c r="D4" s="42"/>
      <c r="E4" s="28"/>
      <c r="F4" s="28"/>
      <c r="G4" s="28"/>
      <c r="H4" s="28"/>
      <c r="I4" s="28"/>
      <c r="J4" s="28"/>
      <c r="K4" s="28"/>
    </row>
    <row r="5" spans="1:13">
      <c r="A5" s="230"/>
      <c r="B5" s="230"/>
      <c r="C5" s="230"/>
      <c r="D5" s="230"/>
      <c r="E5" s="230"/>
      <c r="F5" s="230"/>
      <c r="G5" s="230"/>
      <c r="H5" s="230"/>
      <c r="I5" s="230"/>
      <c r="J5" s="230"/>
      <c r="K5" s="230"/>
    </row>
    <row r="6" spans="1:13">
      <c r="A6" s="34" t="s">
        <v>1058</v>
      </c>
      <c r="B6" s="34" t="s">
        <v>1059</v>
      </c>
      <c r="C6" s="34" t="s">
        <v>1065</v>
      </c>
      <c r="D6" s="34" t="s">
        <v>1066</v>
      </c>
      <c r="E6" s="34" t="s">
        <v>1067</v>
      </c>
      <c r="F6" s="34" t="s">
        <v>1068</v>
      </c>
      <c r="G6" s="34" t="s">
        <v>1069</v>
      </c>
      <c r="H6" s="34" t="s">
        <v>1070</v>
      </c>
      <c r="I6" s="34" t="s">
        <v>1071</v>
      </c>
      <c r="J6" s="34" t="s">
        <v>1072</v>
      </c>
      <c r="K6" s="34" t="s">
        <v>1073</v>
      </c>
    </row>
    <row r="7" spans="1:13">
      <c r="A7" s="13"/>
      <c r="B7" s="18"/>
      <c r="C7" s="13"/>
      <c r="D7" s="13" t="s">
        <v>1887</v>
      </c>
      <c r="E7" s="258" t="s">
        <v>137</v>
      </c>
      <c r="F7" s="13" t="s">
        <v>1844</v>
      </c>
      <c r="G7" s="146" t="s">
        <v>138</v>
      </c>
      <c r="H7" s="162" t="s">
        <v>1845</v>
      </c>
      <c r="I7" s="16" t="s">
        <v>1079</v>
      </c>
      <c r="J7" s="18">
        <v>40</v>
      </c>
      <c r="K7" s="18" t="s">
        <v>1846</v>
      </c>
      <c r="M7" s="13" t="str">
        <f>"COMMENT ON COLUMN PG_GOLD."&amp;G7&amp;"."&amp;H7&amp;" IS '"&amp;K7&amp;"';"</f>
        <v>COMMENT ON COLUMN PG_GOLD.DIM_RSTC_TP.DIM_KEY IS 'Key của bảng';</v>
      </c>
    </row>
    <row r="8" spans="1:13">
      <c r="A8" s="281" t="s">
        <v>1302</v>
      </c>
      <c r="B8" s="31" t="s">
        <v>133</v>
      </c>
      <c r="C8" s="31" t="s">
        <v>1888</v>
      </c>
      <c r="D8" s="258" t="s">
        <v>1128</v>
      </c>
      <c r="E8" s="258" t="s">
        <v>137</v>
      </c>
      <c r="F8" s="258" t="s">
        <v>1889</v>
      </c>
      <c r="G8" s="146" t="s">
        <v>138</v>
      </c>
      <c r="H8" s="146" t="s">
        <v>1890</v>
      </c>
      <c r="I8" s="16" t="s">
        <v>1079</v>
      </c>
      <c r="J8" s="16">
        <v>32</v>
      </c>
      <c r="K8" s="16" t="s">
        <v>1891</v>
      </c>
      <c r="M8" s="13" t="str">
        <f>"COMMENT ON COLUMN PG_GOLD."&amp;G8&amp;"."&amp;H8&amp;" IS '"&amp;K8&amp;"';"</f>
        <v>COMMENT ON COLUMN PG_GOLD.DIM_RSTC_TP.RSTC_TP_ID IS 'Mã duy nhất của loại cơ cấu trên DWH';</v>
      </c>
    </row>
    <row r="9" spans="1:13">
      <c r="A9" s="281" t="s">
        <v>1302</v>
      </c>
      <c r="B9" s="31" t="s">
        <v>133</v>
      </c>
      <c r="C9" s="31" t="s">
        <v>1892</v>
      </c>
      <c r="D9" s="258" t="s">
        <v>1128</v>
      </c>
      <c r="E9" s="258" t="s">
        <v>137</v>
      </c>
      <c r="F9" s="258" t="s">
        <v>1893</v>
      </c>
      <c r="G9" s="146" t="s">
        <v>138</v>
      </c>
      <c r="H9" s="146" t="s">
        <v>1894</v>
      </c>
      <c r="I9" s="16" t="s">
        <v>1327</v>
      </c>
      <c r="J9" s="16">
        <v>20</v>
      </c>
      <c r="K9" s="258" t="s">
        <v>1895</v>
      </c>
      <c r="M9" s="13" t="str">
        <f>"COMMENT ON COLUMN PG_GOLD."&amp;G9&amp;"."&amp;H9&amp;" IS '"&amp;K9&amp;"';"</f>
        <v>COMMENT ON COLUMN PG_GOLD.DIM_RSTC_TP.RSTC_TP_CODE IS 'Mã loại cơ cấu';</v>
      </c>
    </row>
    <row r="10" spans="1:13">
      <c r="A10" s="281" t="s">
        <v>1302</v>
      </c>
      <c r="B10" s="31" t="s">
        <v>133</v>
      </c>
      <c r="C10" s="31" t="s">
        <v>1896</v>
      </c>
      <c r="D10" s="258" t="s">
        <v>1128</v>
      </c>
      <c r="E10" s="258" t="s">
        <v>137</v>
      </c>
      <c r="F10" s="285" t="s">
        <v>1897</v>
      </c>
      <c r="G10" s="146" t="s">
        <v>138</v>
      </c>
      <c r="H10" s="146" t="s">
        <v>1898</v>
      </c>
      <c r="I10" s="16" t="s">
        <v>1327</v>
      </c>
      <c r="J10" s="16">
        <v>300</v>
      </c>
      <c r="K10" s="285" t="s">
        <v>1899</v>
      </c>
      <c r="M10" s="13" t="str">
        <f>"COMMENT ON COLUMN PG_GOLD."&amp;G10&amp;"."&amp;H10&amp;" IS '"&amp;K10&amp;"';"</f>
        <v>COMMENT ON COLUMN PG_GOLD.DIM_RSTC_TP.RSTC_TP_DSC IS 'Mô tả loại cơ cấu';</v>
      </c>
    </row>
    <row r="11" spans="1:13">
      <c r="C11" s="13" t="s">
        <v>1423</v>
      </c>
      <c r="E11" s="258" t="s">
        <v>137</v>
      </c>
      <c r="F11" s="285" t="s">
        <v>1290</v>
      </c>
      <c r="G11" s="146" t="s">
        <v>138</v>
      </c>
      <c r="H11" s="16" t="s">
        <v>1291</v>
      </c>
      <c r="I11" s="16" t="s">
        <v>519</v>
      </c>
    </row>
    <row r="12" spans="1:13">
      <c r="E12" s="258" t="s">
        <v>137</v>
      </c>
      <c r="F12" s="285" t="s">
        <v>1294</v>
      </c>
      <c r="G12" s="146" t="s">
        <v>138</v>
      </c>
      <c r="H12" s="16" t="s">
        <v>1295</v>
      </c>
      <c r="I12" s="16" t="s">
        <v>519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A64D79"/>
    <outlinePr summaryBelow="0" summaryRight="0"/>
  </sheetPr>
  <dimension ref="A1:M16"/>
  <sheetViews>
    <sheetView workbookViewId="0"/>
  </sheetViews>
  <sheetFormatPr defaultColWidth="14.42578125" defaultRowHeight="15" customHeight="1"/>
  <cols>
    <col min="1" max="1" width="12" style="259" customWidth="1"/>
    <col min="2" max="2" width="11.7109375" style="259" customWidth="1"/>
    <col min="3" max="3" width="19.5703125" style="259" customWidth="1"/>
    <col min="4" max="4" width="53.7109375" style="259" customWidth="1"/>
    <col min="5" max="5" width="19.5703125" style="259" customWidth="1"/>
    <col min="6" max="6" width="29" style="259" customWidth="1"/>
    <col min="8" max="8" width="20" style="259" customWidth="1"/>
    <col min="11" max="11" width="34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9" t="s">
        <v>1119</v>
      </c>
      <c r="D2" s="39" t="s">
        <v>1120</v>
      </c>
      <c r="E2" s="39" t="s">
        <v>1121</v>
      </c>
      <c r="F2" s="39" t="s">
        <v>1122</v>
      </c>
      <c r="G2" s="39" t="s">
        <v>1123</v>
      </c>
      <c r="H2" s="34"/>
      <c r="I2" s="34"/>
      <c r="J2" s="34"/>
      <c r="K2" s="34"/>
    </row>
    <row r="3" spans="1:13">
      <c r="A3" s="281" t="s">
        <v>1302</v>
      </c>
      <c r="B3" s="16" t="s">
        <v>24</v>
      </c>
      <c r="C3" s="281" t="s">
        <v>1900</v>
      </c>
      <c r="D3" s="42" t="s">
        <v>1901</v>
      </c>
      <c r="E3" s="28"/>
      <c r="F3" s="281"/>
      <c r="G3" s="28"/>
      <c r="H3" s="28"/>
      <c r="I3" s="28"/>
      <c r="J3" s="28"/>
      <c r="K3" s="28"/>
    </row>
    <row r="4" spans="1:13">
      <c r="A4" s="281" t="s">
        <v>1302</v>
      </c>
      <c r="B4" s="31" t="s">
        <v>30</v>
      </c>
      <c r="C4" s="281" t="s">
        <v>1902</v>
      </c>
      <c r="D4" s="42" t="s">
        <v>1903</v>
      </c>
      <c r="E4" s="281" t="s">
        <v>1218</v>
      </c>
      <c r="F4" s="281" t="s">
        <v>1904</v>
      </c>
      <c r="G4" s="28"/>
      <c r="H4" s="28"/>
      <c r="I4" s="28"/>
      <c r="J4" s="28"/>
      <c r="K4" s="28"/>
    </row>
    <row r="5" spans="1:13">
      <c r="A5" s="281" t="s">
        <v>1302</v>
      </c>
      <c r="B5" s="31" t="s">
        <v>41</v>
      </c>
      <c r="C5" s="281" t="s">
        <v>1905</v>
      </c>
      <c r="D5" s="42" t="s">
        <v>1903</v>
      </c>
      <c r="E5" s="281" t="s">
        <v>1218</v>
      </c>
      <c r="F5" s="281" t="s">
        <v>1906</v>
      </c>
      <c r="G5" s="28"/>
      <c r="H5" s="230"/>
      <c r="I5" s="230"/>
      <c r="J5" s="230"/>
      <c r="K5" s="230"/>
    </row>
    <row r="6" spans="1:13">
      <c r="A6" s="230"/>
      <c r="B6" s="230"/>
      <c r="C6" s="230"/>
      <c r="D6" s="230"/>
      <c r="E6" s="230"/>
      <c r="F6" s="230"/>
      <c r="G6" s="230"/>
      <c r="H6" s="230"/>
      <c r="I6" s="230"/>
      <c r="J6" s="230"/>
      <c r="K6" s="230"/>
    </row>
    <row r="7" spans="1:13">
      <c r="A7" s="34" t="s">
        <v>1058</v>
      </c>
      <c r="B7" s="34" t="s">
        <v>1059</v>
      </c>
      <c r="C7" s="34" t="s">
        <v>1065</v>
      </c>
      <c r="D7" s="34" t="s">
        <v>1066</v>
      </c>
      <c r="E7" s="34" t="s">
        <v>1067</v>
      </c>
      <c r="F7" s="34" t="s">
        <v>1068</v>
      </c>
      <c r="G7" s="34" t="s">
        <v>1069</v>
      </c>
      <c r="H7" s="34" t="s">
        <v>1070</v>
      </c>
      <c r="I7" s="34" t="s">
        <v>1071</v>
      </c>
      <c r="J7" s="34" t="s">
        <v>1072</v>
      </c>
      <c r="K7" s="34" t="s">
        <v>1073</v>
      </c>
    </row>
    <row r="8" spans="1:13">
      <c r="A8" s="281" t="s">
        <v>1302</v>
      </c>
      <c r="B8" s="16" t="s">
        <v>24</v>
      </c>
      <c r="C8" s="146" t="s">
        <v>1285</v>
      </c>
      <c r="D8" s="13" t="s">
        <v>1907</v>
      </c>
      <c r="E8" s="258" t="s">
        <v>230</v>
      </c>
      <c r="F8" s="13" t="s">
        <v>1844</v>
      </c>
      <c r="G8" s="146" t="s">
        <v>231</v>
      </c>
      <c r="H8" s="162" t="s">
        <v>1845</v>
      </c>
      <c r="I8" s="16" t="s">
        <v>1079</v>
      </c>
      <c r="J8" s="18">
        <v>40</v>
      </c>
      <c r="K8" s="18" t="s">
        <v>1846</v>
      </c>
      <c r="M8" s="13" t="str">
        <f>"COMMENT ON COLUMN PG_GOLD."&amp;G8&amp;"."&amp;H8&amp;" IS '"&amp;K8&amp;"';"</f>
        <v>COMMENT ON COLUMN PG_GOLD.DIM_CST.DIM_KEY IS 'Key của bảng';</v>
      </c>
    </row>
    <row r="9" spans="1:13">
      <c r="A9" s="281" t="s">
        <v>1302</v>
      </c>
      <c r="B9" s="16" t="s">
        <v>24</v>
      </c>
      <c r="C9" s="146" t="s">
        <v>1285</v>
      </c>
      <c r="D9" s="258" t="s">
        <v>1128</v>
      </c>
      <c r="E9" s="258" t="s">
        <v>230</v>
      </c>
      <c r="F9" s="258" t="s">
        <v>1459</v>
      </c>
      <c r="G9" s="146" t="s">
        <v>231</v>
      </c>
      <c r="H9" s="146" t="s">
        <v>1285</v>
      </c>
      <c r="I9" s="16" t="s">
        <v>1079</v>
      </c>
      <c r="J9" s="16">
        <v>32</v>
      </c>
      <c r="K9" s="16" t="s">
        <v>1733</v>
      </c>
      <c r="M9" s="13" t="str">
        <f>"COMMENT ON COLUMN PG_GOLD."&amp;G9&amp;"."&amp;H9&amp;" IS '"&amp;K9&amp;"';"</f>
        <v>COMMENT ON COLUMN PG_GOLD.DIM_CST.CST_ID IS 'Unique key trên DWH';</v>
      </c>
    </row>
    <row r="10" spans="1:13">
      <c r="A10" s="281" t="s">
        <v>1302</v>
      </c>
      <c r="B10" s="16" t="s">
        <v>24</v>
      </c>
      <c r="C10" s="146" t="s">
        <v>253</v>
      </c>
      <c r="D10" s="258" t="s">
        <v>1128</v>
      </c>
      <c r="E10" s="258" t="s">
        <v>230</v>
      </c>
      <c r="F10" s="258" t="s">
        <v>847</v>
      </c>
      <c r="G10" s="146" t="s">
        <v>231</v>
      </c>
      <c r="H10" s="146" t="s">
        <v>253</v>
      </c>
      <c r="I10" s="16" t="s">
        <v>1327</v>
      </c>
      <c r="J10" s="16">
        <v>20</v>
      </c>
      <c r="K10" s="258" t="s">
        <v>1328</v>
      </c>
      <c r="M10" s="13" t="str">
        <f>"COMMENT ON COLUMN PG_GOLD."&amp;G10&amp;"."&amp;H10&amp;" IS '"&amp;K10&amp;"';"</f>
        <v>COMMENT ON COLUMN PG_GOLD.DIM_CST.CST_CODE IS 'Mã khách hàng';</v>
      </c>
    </row>
    <row r="11" spans="1:13">
      <c r="A11" s="281" t="s">
        <v>1302</v>
      </c>
      <c r="B11" s="16" t="s">
        <v>24</v>
      </c>
      <c r="C11" s="146" t="s">
        <v>1371</v>
      </c>
      <c r="D11" s="258" t="s">
        <v>1128</v>
      </c>
      <c r="E11" s="258" t="s">
        <v>230</v>
      </c>
      <c r="F11" s="285" t="s">
        <v>870</v>
      </c>
      <c r="G11" s="146" t="s">
        <v>231</v>
      </c>
      <c r="H11" s="146" t="s">
        <v>1371</v>
      </c>
      <c r="I11" s="16" t="s">
        <v>1327</v>
      </c>
      <c r="J11" s="16">
        <v>200</v>
      </c>
      <c r="K11" s="285" t="s">
        <v>1908</v>
      </c>
      <c r="M11" s="13" t="str">
        <f>"COMMENT ON COLUMN PG_GOLD."&amp;G11&amp;"."&amp;H11&amp;" IS '"&amp;K11&amp;"';"</f>
        <v>COMMENT ON COLUMN PG_GOLD.DIM_CST.CST_NM IS 'Tên khách hàng';</v>
      </c>
    </row>
    <row r="12" spans="1:13">
      <c r="A12" s="281" t="s">
        <v>1302</v>
      </c>
      <c r="B12" s="16" t="s">
        <v>24</v>
      </c>
      <c r="C12" s="16" t="s">
        <v>275</v>
      </c>
      <c r="D12" s="258" t="s">
        <v>1128</v>
      </c>
      <c r="E12" s="258" t="s">
        <v>230</v>
      </c>
      <c r="F12" s="285" t="s">
        <v>856</v>
      </c>
      <c r="G12" s="146" t="s">
        <v>231</v>
      </c>
      <c r="H12" s="16" t="s">
        <v>275</v>
      </c>
      <c r="I12" s="16" t="s">
        <v>1327</v>
      </c>
      <c r="J12" s="16">
        <v>20</v>
      </c>
      <c r="K12" s="16" t="s">
        <v>855</v>
      </c>
      <c r="M12" s="13" t="str">
        <f>"COMMENT ON COLUMN PG_GOLD."&amp;G12&amp;"."&amp;H12&amp;" IS '"&amp;K12&amp;"';"</f>
        <v>COMMENT ON COLUMN PG_GOLD.DIM_CST.SCTR_CODE IS 'Mã phân loại hình khách hàng';</v>
      </c>
    </row>
    <row r="13" spans="1:13">
      <c r="A13" s="281" t="s">
        <v>1302</v>
      </c>
      <c r="B13" s="258" t="s">
        <v>1909</v>
      </c>
      <c r="C13" s="16" t="s">
        <v>1421</v>
      </c>
      <c r="D13" s="258" t="s">
        <v>1910</v>
      </c>
      <c r="E13" s="258" t="s">
        <v>230</v>
      </c>
      <c r="F13" s="285" t="s">
        <v>795</v>
      </c>
      <c r="G13" s="146" t="s">
        <v>231</v>
      </c>
      <c r="H13" s="16" t="s">
        <v>1421</v>
      </c>
      <c r="I13" s="16" t="s">
        <v>1327</v>
      </c>
      <c r="J13" s="16">
        <v>20</v>
      </c>
      <c r="K13" s="311" t="s">
        <v>794</v>
      </c>
      <c r="M13" s="13" t="str">
        <f>"COMMENT ON COLUMN PG_GOLD."&amp;G13&amp;"."&amp;H13&amp;" IS '"&amp;K13&amp;"';"</f>
        <v>COMMENT ON COLUMN PG_GOLD.DIM_CST.IDY_LV1_CL_CODE IS 'Mã ngành nghê kinh tế cha';</v>
      </c>
    </row>
    <row r="14" spans="1:13">
      <c r="A14" s="281" t="s">
        <v>1302</v>
      </c>
      <c r="B14" s="258" t="s">
        <v>1909</v>
      </c>
      <c r="C14" s="16" t="s">
        <v>1432</v>
      </c>
      <c r="D14" s="258" t="s">
        <v>1911</v>
      </c>
      <c r="E14" s="258" t="s">
        <v>230</v>
      </c>
      <c r="F14" s="285" t="s">
        <v>816</v>
      </c>
      <c r="G14" s="146" t="s">
        <v>231</v>
      </c>
      <c r="H14" s="16" t="s">
        <v>1432</v>
      </c>
      <c r="I14" s="16" t="s">
        <v>1327</v>
      </c>
      <c r="J14" s="16">
        <v>20</v>
      </c>
      <c r="K14" s="311" t="s">
        <v>815</v>
      </c>
      <c r="M14" s="13" t="str">
        <f>"COMMENT ON COLUMN PG_GOLD."&amp;G14&amp;"."&amp;H14&amp;" IS '"&amp;K14&amp;"';"</f>
        <v>COMMENT ON COLUMN PG_GOLD.DIM_CST.IDY_LV2_CL_CODE IS 'Ngành nghề kinh tế';</v>
      </c>
    </row>
    <row r="15" spans="1:13">
      <c r="D15" s="258"/>
      <c r="E15" s="258" t="s">
        <v>230</v>
      </c>
      <c r="F15" s="285" t="s">
        <v>1290</v>
      </c>
      <c r="G15" s="146" t="s">
        <v>231</v>
      </c>
      <c r="H15" s="16" t="s">
        <v>1291</v>
      </c>
      <c r="I15" s="16" t="s">
        <v>519</v>
      </c>
    </row>
    <row r="16" spans="1:13">
      <c r="D16" s="258"/>
      <c r="E16" s="258" t="s">
        <v>230</v>
      </c>
      <c r="F16" s="285" t="s">
        <v>1294</v>
      </c>
      <c r="G16" s="146" t="s">
        <v>231</v>
      </c>
      <c r="H16" s="16" t="s">
        <v>1295</v>
      </c>
      <c r="I16" s="16" t="s">
        <v>519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A64D79"/>
    <outlinePr summaryBelow="0" summaryRight="0"/>
  </sheetPr>
  <dimension ref="A1:M12"/>
  <sheetViews>
    <sheetView workbookViewId="0"/>
  </sheetViews>
  <sheetFormatPr defaultColWidth="14.42578125" defaultRowHeight="15" customHeight="1"/>
  <cols>
    <col min="2" max="2" width="38.42578125" style="259" customWidth="1"/>
    <col min="3" max="3" width="21.42578125" style="259" customWidth="1"/>
    <col min="4" max="4" width="57.28515625" style="259" customWidth="1"/>
    <col min="5" max="5" width="37.28515625" style="259" customWidth="1"/>
    <col min="6" max="6" width="29" style="259" customWidth="1"/>
    <col min="8" max="8" width="20" style="259" customWidth="1"/>
    <col min="11" max="11" width="34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81" t="s">
        <v>1302</v>
      </c>
      <c r="B3" s="31" t="s">
        <v>133</v>
      </c>
      <c r="C3" s="281"/>
      <c r="D3" s="42" t="s">
        <v>1912</v>
      </c>
      <c r="E3" s="28"/>
      <c r="F3" s="28"/>
      <c r="G3" s="28"/>
      <c r="H3" s="28"/>
      <c r="I3" s="28"/>
      <c r="J3" s="28"/>
      <c r="K3" s="28"/>
    </row>
    <row r="4" spans="1:13">
      <c r="A4" s="311"/>
      <c r="B4" s="311"/>
      <c r="C4" s="281"/>
      <c r="D4" s="42"/>
      <c r="E4" s="28"/>
      <c r="F4" s="28"/>
      <c r="G4" s="28"/>
      <c r="H4" s="28"/>
      <c r="I4" s="28"/>
      <c r="J4" s="28"/>
      <c r="K4" s="28"/>
    </row>
    <row r="5" spans="1:13">
      <c r="A5" s="230"/>
      <c r="B5" s="230"/>
      <c r="C5" s="230"/>
      <c r="D5" s="230"/>
      <c r="E5" s="230"/>
      <c r="F5" s="230"/>
      <c r="G5" s="230"/>
      <c r="H5" s="230"/>
      <c r="I5" s="230"/>
      <c r="J5" s="230"/>
      <c r="K5" s="230"/>
    </row>
    <row r="6" spans="1:13">
      <c r="A6" s="34" t="s">
        <v>1058</v>
      </c>
      <c r="B6" s="34" t="s">
        <v>1059</v>
      </c>
      <c r="C6" s="34" t="s">
        <v>1065</v>
      </c>
      <c r="D6" s="34" t="s">
        <v>1066</v>
      </c>
      <c r="E6" s="34" t="s">
        <v>1067</v>
      </c>
      <c r="F6" s="34" t="s">
        <v>1068</v>
      </c>
      <c r="G6" s="34" t="s">
        <v>1069</v>
      </c>
      <c r="H6" s="34" t="s">
        <v>1070</v>
      </c>
      <c r="I6" s="34" t="s">
        <v>1071</v>
      </c>
      <c r="J6" s="34" t="s">
        <v>1072</v>
      </c>
      <c r="K6" s="34" t="s">
        <v>1073</v>
      </c>
    </row>
    <row r="7" spans="1:13">
      <c r="A7" s="13"/>
      <c r="B7" s="18"/>
      <c r="C7" s="13"/>
      <c r="D7" s="13" t="s">
        <v>1887</v>
      </c>
      <c r="E7" s="258" t="s">
        <v>142</v>
      </c>
      <c r="F7" s="13" t="s">
        <v>1844</v>
      </c>
      <c r="G7" s="146" t="s">
        <v>143</v>
      </c>
      <c r="H7" s="162" t="s">
        <v>1845</v>
      </c>
      <c r="I7" s="16" t="s">
        <v>1079</v>
      </c>
      <c r="J7" s="18">
        <v>40</v>
      </c>
      <c r="K7" s="18" t="s">
        <v>1846</v>
      </c>
      <c r="M7" s="13" t="str">
        <f>"COMMENT ON COLUMN PG_GOLD."&amp;G7&amp;"."&amp;H7&amp;" IS '"&amp;K7&amp;"';"</f>
        <v>COMMENT ON COLUMN PG_GOLD.DIM_FNC_ST.DIM_KEY IS 'Key của bảng';</v>
      </c>
    </row>
    <row r="8" spans="1:13">
      <c r="A8" s="281" t="s">
        <v>1302</v>
      </c>
      <c r="B8" s="31" t="s">
        <v>133</v>
      </c>
      <c r="C8" s="31" t="s">
        <v>1888</v>
      </c>
      <c r="D8" s="258" t="s">
        <v>1128</v>
      </c>
      <c r="E8" s="258" t="s">
        <v>142</v>
      </c>
      <c r="F8" s="258" t="s">
        <v>1913</v>
      </c>
      <c r="G8" s="146" t="s">
        <v>143</v>
      </c>
      <c r="H8" s="146" t="s">
        <v>1914</v>
      </c>
      <c r="I8" s="16" t="s">
        <v>1079</v>
      </c>
      <c r="J8" s="16">
        <v>32</v>
      </c>
      <c r="K8" s="16" t="s">
        <v>1915</v>
      </c>
      <c r="M8" s="13" t="str">
        <f>"COMMENT ON COLUMN PG_GOLD."&amp;G8&amp;"."&amp;H8&amp;" IS '"&amp;K8&amp;"';"</f>
        <v>COMMENT ON COLUMN PG_GOLD.DIM_FNC_ST.FNC_ST_ID IS 'Mã duy nhất của nhóm nợ trên DWH';</v>
      </c>
    </row>
    <row r="9" spans="1:13">
      <c r="A9" s="281" t="s">
        <v>1302</v>
      </c>
      <c r="B9" s="31" t="s">
        <v>133</v>
      </c>
      <c r="C9" s="31" t="s">
        <v>1892</v>
      </c>
      <c r="D9" s="258" t="s">
        <v>1128</v>
      </c>
      <c r="E9" s="258" t="s">
        <v>142</v>
      </c>
      <c r="F9" s="258" t="s">
        <v>948</v>
      </c>
      <c r="G9" s="146" t="s">
        <v>143</v>
      </c>
      <c r="H9" s="146" t="s">
        <v>1528</v>
      </c>
      <c r="I9" s="16" t="s">
        <v>1327</v>
      </c>
      <c r="J9" s="16">
        <v>20</v>
      </c>
      <c r="K9" s="258" t="s">
        <v>1916</v>
      </c>
      <c r="M9" s="13" t="str">
        <f>"COMMENT ON COLUMN PG_GOLD."&amp;G9&amp;"."&amp;H9&amp;" IS '"&amp;K9&amp;"';"</f>
        <v>COMMENT ON COLUMN PG_GOLD.DIM_FNC_ST.FNC_ST_CODE IS 'Mã nhóm nợ';</v>
      </c>
    </row>
    <row r="10" spans="1:13">
      <c r="A10" s="281" t="s">
        <v>1302</v>
      </c>
      <c r="B10" s="31" t="s">
        <v>133</v>
      </c>
      <c r="C10" s="31" t="s">
        <v>1896</v>
      </c>
      <c r="D10" s="258" t="s">
        <v>1128</v>
      </c>
      <c r="E10" s="258" t="s">
        <v>142</v>
      </c>
      <c r="F10" s="285" t="s">
        <v>1917</v>
      </c>
      <c r="G10" s="146" t="s">
        <v>143</v>
      </c>
      <c r="H10" s="146" t="s">
        <v>1918</v>
      </c>
      <c r="I10" s="16" t="s">
        <v>1327</v>
      </c>
      <c r="J10" s="16">
        <v>200</v>
      </c>
      <c r="K10" s="285" t="s">
        <v>1919</v>
      </c>
      <c r="M10" s="13" t="str">
        <f>"COMMENT ON COLUMN PG_GOLD."&amp;G10&amp;"."&amp;H10&amp;" IS '"&amp;K10&amp;"';"</f>
        <v>COMMENT ON COLUMN PG_GOLD.DIM_FNC_ST.FNC_ST_DSC IS 'Mô tả nhóm nợ';</v>
      </c>
    </row>
    <row r="11" spans="1:13">
      <c r="E11" s="258" t="s">
        <v>142</v>
      </c>
      <c r="F11" s="285" t="s">
        <v>1290</v>
      </c>
      <c r="G11" s="146" t="s">
        <v>143</v>
      </c>
      <c r="H11" s="16" t="s">
        <v>1291</v>
      </c>
      <c r="I11" s="16" t="s">
        <v>519</v>
      </c>
    </row>
    <row r="12" spans="1:13">
      <c r="E12" s="258" t="s">
        <v>142</v>
      </c>
      <c r="F12" s="285" t="s">
        <v>1294</v>
      </c>
      <c r="G12" s="146" t="s">
        <v>143</v>
      </c>
      <c r="H12" s="16" t="s">
        <v>1295</v>
      </c>
      <c r="I12" s="16" t="s">
        <v>519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A64D79"/>
    <outlinePr summaryBelow="0" summaryRight="0"/>
  </sheetPr>
  <dimension ref="A1:M12"/>
  <sheetViews>
    <sheetView workbookViewId="0"/>
  </sheetViews>
  <sheetFormatPr defaultColWidth="14.42578125" defaultRowHeight="15" customHeight="1"/>
  <cols>
    <col min="2" max="3" width="12" style="259" customWidth="1"/>
    <col min="4" max="4" width="51.7109375" style="259" customWidth="1"/>
    <col min="5" max="5" width="37.28515625" style="259" customWidth="1"/>
    <col min="6" max="6" width="29" style="259" customWidth="1"/>
    <col min="8" max="8" width="20" style="259" customWidth="1"/>
    <col min="11" max="11" width="34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81" t="s">
        <v>1302</v>
      </c>
      <c r="B3" s="281" t="s">
        <v>99</v>
      </c>
      <c r="C3" s="281"/>
      <c r="D3" s="42"/>
      <c r="E3" s="28"/>
      <c r="F3" s="28"/>
      <c r="G3" s="28"/>
      <c r="H3" s="28"/>
      <c r="I3" s="28"/>
      <c r="J3" s="28"/>
      <c r="K3" s="28"/>
    </row>
    <row r="4" spans="1:13">
      <c r="A4" s="311"/>
      <c r="B4" s="311"/>
      <c r="C4" s="281"/>
      <c r="D4" s="42"/>
      <c r="E4" s="28"/>
      <c r="F4" s="28"/>
      <c r="G4" s="28"/>
      <c r="H4" s="28"/>
      <c r="I4" s="28"/>
      <c r="J4" s="28"/>
      <c r="K4" s="28"/>
    </row>
    <row r="5" spans="1:13">
      <c r="A5" s="230"/>
      <c r="B5" s="230"/>
      <c r="C5" s="230"/>
      <c r="D5" s="230"/>
      <c r="E5" s="230"/>
      <c r="F5" s="230"/>
      <c r="G5" s="230"/>
      <c r="H5" s="230"/>
      <c r="I5" s="230"/>
      <c r="J5" s="230"/>
      <c r="K5" s="230"/>
    </row>
    <row r="6" spans="1:13">
      <c r="A6" s="34" t="s">
        <v>1058</v>
      </c>
      <c r="B6" s="34" t="s">
        <v>1059</v>
      </c>
      <c r="C6" s="34" t="s">
        <v>1065</v>
      </c>
      <c r="D6" s="34" t="s">
        <v>1066</v>
      </c>
      <c r="E6" s="34" t="s">
        <v>1067</v>
      </c>
      <c r="F6" s="34" t="s">
        <v>1068</v>
      </c>
      <c r="G6" s="34" t="s">
        <v>1069</v>
      </c>
      <c r="H6" s="34" t="s">
        <v>1070</v>
      </c>
      <c r="I6" s="34" t="s">
        <v>1071</v>
      </c>
      <c r="J6" s="34" t="s">
        <v>1072</v>
      </c>
      <c r="K6" s="34" t="s">
        <v>1073</v>
      </c>
    </row>
    <row r="7" spans="1:13">
      <c r="A7" s="281" t="s">
        <v>1302</v>
      </c>
      <c r="B7" s="281" t="s">
        <v>99</v>
      </c>
      <c r="C7" s="146" t="s">
        <v>1920</v>
      </c>
      <c r="D7" s="13" t="s">
        <v>1921</v>
      </c>
      <c r="E7" s="258" t="s">
        <v>102</v>
      </c>
      <c r="F7" s="13" t="s">
        <v>1844</v>
      </c>
      <c r="G7" s="146" t="s">
        <v>103</v>
      </c>
      <c r="H7" s="162" t="s">
        <v>1845</v>
      </c>
      <c r="I7" s="16" t="s">
        <v>1079</v>
      </c>
      <c r="J7" s="18">
        <v>40</v>
      </c>
      <c r="K7" s="18" t="s">
        <v>1846</v>
      </c>
      <c r="M7" s="13" t="str">
        <f>"COMMENT ON COLUMN PG_GOLD."&amp;G7&amp;"."&amp;H7&amp;" IS '"&amp;K7&amp;"';"</f>
        <v>COMMENT ON COLUMN PG_GOLD.DIM_PD.DIM_KEY IS 'Key của bảng';</v>
      </c>
    </row>
    <row r="8" spans="1:13">
      <c r="A8" s="281" t="s">
        <v>1302</v>
      </c>
      <c r="B8" s="281" t="s">
        <v>99</v>
      </c>
      <c r="C8" s="146" t="s">
        <v>1920</v>
      </c>
      <c r="D8" s="258" t="s">
        <v>1128</v>
      </c>
      <c r="E8" s="258" t="s">
        <v>102</v>
      </c>
      <c r="F8" s="258" t="s">
        <v>1922</v>
      </c>
      <c r="G8" s="146" t="s">
        <v>103</v>
      </c>
      <c r="H8" s="146" t="s">
        <v>1920</v>
      </c>
      <c r="I8" s="16" t="s">
        <v>1079</v>
      </c>
      <c r="J8" s="16">
        <v>32</v>
      </c>
      <c r="K8" s="311" t="s">
        <v>1733</v>
      </c>
      <c r="M8" s="13" t="str">
        <f>"COMMENT ON COLUMN PG_GOLD."&amp;G8&amp;"."&amp;H8&amp;" IS '"&amp;K8&amp;"';"</f>
        <v>COMMENT ON COLUMN PG_GOLD.DIM_PD.PD_ID IS 'Unique key trên DWH';</v>
      </c>
    </row>
    <row r="9" spans="1:13">
      <c r="A9" s="281" t="s">
        <v>1302</v>
      </c>
      <c r="B9" s="281" t="s">
        <v>99</v>
      </c>
      <c r="C9" s="146" t="s">
        <v>284</v>
      </c>
      <c r="D9" s="258" t="s">
        <v>1128</v>
      </c>
      <c r="E9" s="258" t="s">
        <v>102</v>
      </c>
      <c r="F9" s="258" t="s">
        <v>691</v>
      </c>
      <c r="G9" s="146" t="s">
        <v>103</v>
      </c>
      <c r="H9" s="146" t="s">
        <v>284</v>
      </c>
      <c r="I9" s="16" t="s">
        <v>1327</v>
      </c>
      <c r="J9" s="16">
        <v>32</v>
      </c>
      <c r="K9" s="285" t="s">
        <v>715</v>
      </c>
      <c r="M9" s="13" t="str">
        <f>"COMMENT ON COLUMN PG_GOLD."&amp;G9&amp;"."&amp;H9&amp;" IS '"&amp;K9&amp;"';"</f>
        <v>COMMENT ON COLUMN PG_GOLD.DIM_PD.PD_CODE IS 'Mã sản phẩm';</v>
      </c>
    </row>
    <row r="10" spans="1:13">
      <c r="A10" s="281" t="s">
        <v>1302</v>
      </c>
      <c r="B10" s="281" t="s">
        <v>99</v>
      </c>
      <c r="C10" s="146" t="s">
        <v>1726</v>
      </c>
      <c r="D10" s="258" t="s">
        <v>1128</v>
      </c>
      <c r="E10" s="258" t="s">
        <v>102</v>
      </c>
      <c r="F10" s="285" t="s">
        <v>733</v>
      </c>
      <c r="G10" s="146" t="s">
        <v>103</v>
      </c>
      <c r="H10" s="146" t="s">
        <v>1726</v>
      </c>
      <c r="I10" s="16" t="s">
        <v>1327</v>
      </c>
      <c r="J10" s="16">
        <v>200</v>
      </c>
      <c r="K10" s="285" t="s">
        <v>732</v>
      </c>
      <c r="M10" s="13" t="str">
        <f>"COMMENT ON COLUMN PG_GOLD."&amp;G10&amp;"."&amp;H10&amp;" IS '"&amp;K10&amp;"';"</f>
        <v>COMMENT ON COLUMN PG_GOLD.DIM_PD.PD_NM IS 'Tên sản phẩm';</v>
      </c>
    </row>
    <row r="11" spans="1:13">
      <c r="E11" s="258" t="s">
        <v>102</v>
      </c>
      <c r="F11" s="285" t="s">
        <v>1290</v>
      </c>
      <c r="G11" s="146" t="s">
        <v>103</v>
      </c>
      <c r="H11" s="16" t="s">
        <v>1291</v>
      </c>
      <c r="I11" s="16" t="s">
        <v>519</v>
      </c>
    </row>
    <row r="12" spans="1:13">
      <c r="E12" s="258" t="s">
        <v>102</v>
      </c>
      <c r="F12" s="285" t="s">
        <v>1294</v>
      </c>
      <c r="G12" s="146" t="s">
        <v>103</v>
      </c>
      <c r="H12" s="16" t="s">
        <v>1295</v>
      </c>
      <c r="I12" s="16" t="s">
        <v>519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A64D79"/>
    <outlinePr summaryBelow="0" summaryRight="0"/>
  </sheetPr>
  <dimension ref="A1:Z45"/>
  <sheetViews>
    <sheetView workbookViewId="0"/>
  </sheetViews>
  <sheetFormatPr defaultColWidth="14.42578125" defaultRowHeight="15" customHeight="1"/>
  <cols>
    <col min="2" max="2" width="28.42578125" style="259" customWidth="1"/>
    <col min="3" max="3" width="23.85546875" style="259" customWidth="1"/>
    <col min="4" max="4" width="77.5703125" style="259" customWidth="1"/>
    <col min="5" max="5" width="26.42578125" style="259" customWidth="1"/>
    <col min="6" max="6" width="34.5703125" style="259" customWidth="1"/>
    <col min="8" max="8" width="25.5703125" style="259" customWidth="1"/>
    <col min="11" max="11" width="34" style="259" customWidth="1"/>
    <col min="12" max="12" width="21.28515625" style="259" customWidth="1"/>
  </cols>
  <sheetData>
    <row r="1" spans="1:26">
      <c r="A1" s="34" t="s">
        <v>1923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26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26">
      <c r="A3" s="121" t="s">
        <v>1302</v>
      </c>
      <c r="B3" s="121" t="s">
        <v>70</v>
      </c>
      <c r="C3" s="281" t="s">
        <v>1061</v>
      </c>
      <c r="D3" s="42"/>
      <c r="E3" s="28"/>
      <c r="F3" s="28"/>
      <c r="G3" s="28"/>
      <c r="H3" s="28"/>
      <c r="I3" s="28"/>
      <c r="J3" s="28"/>
      <c r="K3" s="28"/>
    </row>
    <row r="4" spans="1:26">
      <c r="A4" s="231" t="s">
        <v>1302</v>
      </c>
      <c r="B4" s="231" t="s">
        <v>203</v>
      </c>
      <c r="C4" s="303" t="s">
        <v>1063</v>
      </c>
      <c r="D4" s="304" t="s">
        <v>1924</v>
      </c>
      <c r="E4" s="305"/>
      <c r="F4" s="305"/>
      <c r="G4" s="305"/>
      <c r="H4" s="305"/>
      <c r="I4" s="305"/>
      <c r="J4" s="305"/>
      <c r="K4" s="305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>
      <c r="A5" s="121" t="s">
        <v>1302</v>
      </c>
      <c r="B5" s="285" t="s">
        <v>75</v>
      </c>
      <c r="C5" s="281" t="s">
        <v>1212</v>
      </c>
      <c r="D5" s="42" t="s">
        <v>1925</v>
      </c>
      <c r="E5" s="28"/>
      <c r="F5" s="28"/>
      <c r="G5" s="28"/>
      <c r="H5" s="28"/>
      <c r="I5" s="28"/>
      <c r="J5" s="28"/>
      <c r="K5" s="28"/>
    </row>
    <row r="6" spans="1:26">
      <c r="A6" s="121" t="s">
        <v>1302</v>
      </c>
      <c r="B6" s="285" t="s">
        <v>208</v>
      </c>
      <c r="C6" s="281" t="s">
        <v>1501</v>
      </c>
      <c r="D6" s="42" t="s">
        <v>1926</v>
      </c>
      <c r="E6" s="28"/>
      <c r="F6" s="28"/>
      <c r="G6" s="28"/>
      <c r="H6" s="28"/>
      <c r="I6" s="28"/>
      <c r="J6" s="28"/>
      <c r="K6" s="28"/>
    </row>
    <row r="7" spans="1:26">
      <c r="A7" s="121" t="s">
        <v>1302</v>
      </c>
      <c r="B7" s="285" t="s">
        <v>213</v>
      </c>
      <c r="C7" s="281" t="s">
        <v>1320</v>
      </c>
      <c r="D7" s="154" t="s">
        <v>1927</v>
      </c>
      <c r="E7" s="28"/>
      <c r="F7" s="28"/>
      <c r="G7" s="28"/>
      <c r="H7" s="28"/>
      <c r="I7" s="28"/>
      <c r="J7" s="28"/>
      <c r="K7" s="28"/>
    </row>
    <row r="8" spans="1:26">
      <c r="A8" s="121" t="s">
        <v>1302</v>
      </c>
      <c r="B8" s="121" t="s">
        <v>1508</v>
      </c>
      <c r="C8" s="281" t="s">
        <v>1928</v>
      </c>
      <c r="D8" s="42" t="s">
        <v>1929</v>
      </c>
      <c r="E8" s="28"/>
      <c r="F8" s="28"/>
      <c r="G8" s="28"/>
      <c r="H8" s="28"/>
      <c r="I8" s="28"/>
      <c r="J8" s="28"/>
      <c r="K8" s="28"/>
    </row>
    <row r="9" spans="1:26">
      <c r="A9" s="121" t="s">
        <v>1302</v>
      </c>
      <c r="B9" s="311" t="s">
        <v>223</v>
      </c>
      <c r="C9" s="281" t="s">
        <v>1930</v>
      </c>
      <c r="D9" s="42" t="s">
        <v>1931</v>
      </c>
      <c r="E9" s="28"/>
      <c r="F9" s="28"/>
      <c r="G9" s="28"/>
      <c r="H9" s="28"/>
      <c r="I9" s="28"/>
      <c r="J9" s="28"/>
      <c r="K9" s="28"/>
    </row>
    <row r="10" spans="1:26">
      <c r="A10" s="121" t="s">
        <v>1302</v>
      </c>
      <c r="B10" s="258" t="s">
        <v>218</v>
      </c>
      <c r="C10" s="281" t="s">
        <v>1512</v>
      </c>
      <c r="D10" s="42" t="s">
        <v>1932</v>
      </c>
      <c r="E10" s="28"/>
      <c r="F10" s="28"/>
      <c r="G10" s="28"/>
      <c r="H10" s="28"/>
      <c r="I10" s="28"/>
      <c r="J10" s="28"/>
      <c r="K10" s="28"/>
    </row>
    <row r="11" spans="1:26">
      <c r="A11" s="121" t="s">
        <v>1302</v>
      </c>
      <c r="B11" s="31" t="s">
        <v>30</v>
      </c>
      <c r="C11" s="281" t="s">
        <v>1864</v>
      </c>
      <c r="D11" s="42" t="s">
        <v>1933</v>
      </c>
      <c r="E11" s="28"/>
      <c r="F11" s="28"/>
      <c r="G11" s="28"/>
      <c r="H11" s="28"/>
      <c r="I11" s="28"/>
      <c r="J11" s="28"/>
      <c r="K11" s="28"/>
    </row>
    <row r="12" spans="1:26">
      <c r="A12" s="121" t="s">
        <v>1302</v>
      </c>
      <c r="B12" s="31" t="s">
        <v>41</v>
      </c>
      <c r="C12" s="281" t="s">
        <v>1934</v>
      </c>
      <c r="D12" s="42" t="s">
        <v>1935</v>
      </c>
      <c r="E12" s="28"/>
      <c r="F12" s="28"/>
      <c r="G12" s="28"/>
      <c r="H12" s="28"/>
      <c r="I12" s="28"/>
      <c r="J12" s="28"/>
      <c r="K12" s="28"/>
    </row>
    <row r="13" spans="1:26">
      <c r="A13" s="121" t="s">
        <v>1936</v>
      </c>
      <c r="B13" s="31" t="s">
        <v>80</v>
      </c>
      <c r="C13" s="281" t="s">
        <v>1937</v>
      </c>
      <c r="D13" s="42" t="s">
        <v>1938</v>
      </c>
      <c r="E13" s="28"/>
      <c r="F13" s="28"/>
      <c r="G13" s="28"/>
      <c r="H13" s="28"/>
      <c r="I13" s="28"/>
      <c r="J13" s="28"/>
      <c r="K13" s="28"/>
    </row>
    <row r="14" spans="1:26">
      <c r="A14" s="121" t="s">
        <v>1936</v>
      </c>
      <c r="B14" s="31" t="s">
        <v>231</v>
      </c>
      <c r="C14" s="281" t="s">
        <v>1939</v>
      </c>
      <c r="D14" s="42" t="s">
        <v>1940</v>
      </c>
      <c r="E14" s="28"/>
      <c r="F14" s="28"/>
      <c r="G14" s="28"/>
      <c r="H14" s="28"/>
      <c r="I14" s="28"/>
      <c r="J14" s="28"/>
      <c r="K14" s="28"/>
    </row>
    <row r="15" spans="1:26">
      <c r="A15" s="121" t="s">
        <v>1936</v>
      </c>
      <c r="B15" s="31" t="s">
        <v>103</v>
      </c>
      <c r="C15" s="281" t="s">
        <v>1941</v>
      </c>
      <c r="D15" s="42" t="s">
        <v>1942</v>
      </c>
      <c r="E15" s="28"/>
      <c r="F15" s="28"/>
      <c r="G15" s="28"/>
      <c r="H15" s="28"/>
      <c r="I15" s="28"/>
      <c r="J15" s="28"/>
      <c r="K15" s="28"/>
    </row>
    <row r="16" spans="1:26">
      <c r="A16" s="121" t="s">
        <v>1936</v>
      </c>
      <c r="B16" s="31" t="s">
        <v>113</v>
      </c>
      <c r="C16" s="281" t="s">
        <v>1943</v>
      </c>
      <c r="D16" s="42" t="s">
        <v>1944</v>
      </c>
      <c r="E16" s="28"/>
      <c r="F16" s="28"/>
      <c r="G16" s="28"/>
      <c r="H16" s="28"/>
      <c r="I16" s="28"/>
      <c r="J16" s="28"/>
      <c r="K16" s="28"/>
    </row>
    <row r="17" spans="1:13">
      <c r="A17" s="121" t="s">
        <v>1936</v>
      </c>
      <c r="B17" s="121" t="s">
        <v>94</v>
      </c>
      <c r="C17" s="281" t="s">
        <v>1945</v>
      </c>
      <c r="D17" s="42" t="s">
        <v>1946</v>
      </c>
      <c r="E17" s="28"/>
      <c r="F17" s="28"/>
      <c r="G17" s="28"/>
      <c r="H17" s="28"/>
      <c r="I17" s="28"/>
      <c r="J17" s="28"/>
      <c r="K17" s="28"/>
    </row>
    <row r="18" spans="1:13">
      <c r="A18" s="121" t="s">
        <v>1936</v>
      </c>
      <c r="B18" s="121" t="s">
        <v>1947</v>
      </c>
      <c r="C18" s="281" t="s">
        <v>1948</v>
      </c>
      <c r="D18" s="42" t="s">
        <v>1949</v>
      </c>
      <c r="E18" s="28"/>
      <c r="F18" s="28"/>
      <c r="G18" s="28"/>
      <c r="H18" s="28"/>
      <c r="I18" s="28"/>
      <c r="J18" s="28"/>
      <c r="K18" s="28"/>
    </row>
    <row r="19" spans="1:13">
      <c r="A19" s="121" t="s">
        <v>1936</v>
      </c>
      <c r="B19" s="285" t="s">
        <v>138</v>
      </c>
      <c r="C19" s="281" t="s">
        <v>1950</v>
      </c>
      <c r="D19" s="42" t="s">
        <v>1951</v>
      </c>
      <c r="E19" s="28"/>
      <c r="F19" s="28"/>
      <c r="G19" s="28"/>
      <c r="H19" s="28"/>
      <c r="I19" s="28"/>
      <c r="J19" s="28"/>
      <c r="K19" s="28"/>
    </row>
    <row r="20" spans="1:13">
      <c r="A20" s="121" t="s">
        <v>1936</v>
      </c>
      <c r="B20" s="285" t="s">
        <v>143</v>
      </c>
      <c r="C20" s="281" t="s">
        <v>1952</v>
      </c>
      <c r="D20" s="42" t="s">
        <v>1953</v>
      </c>
      <c r="E20" s="28"/>
      <c r="F20" s="28"/>
      <c r="G20" s="28"/>
      <c r="H20" s="28"/>
      <c r="I20" s="28"/>
      <c r="J20" s="28"/>
      <c r="K20" s="28"/>
    </row>
    <row r="21" spans="1:13">
      <c r="A21" s="121" t="s">
        <v>1936</v>
      </c>
      <c r="B21" s="285" t="s">
        <v>143</v>
      </c>
      <c r="C21" s="281" t="s">
        <v>1954</v>
      </c>
      <c r="D21" s="42" t="s">
        <v>1955</v>
      </c>
      <c r="E21" s="28"/>
      <c r="F21" s="28"/>
      <c r="G21" s="28"/>
      <c r="H21" s="28"/>
      <c r="I21" s="28"/>
      <c r="J21" s="28"/>
      <c r="K21" s="28"/>
    </row>
    <row r="22" spans="1:13">
      <c r="A22" s="230"/>
      <c r="B22" s="230"/>
      <c r="C22" s="230"/>
      <c r="D22" s="230"/>
      <c r="E22" s="230"/>
      <c r="F22" s="230"/>
      <c r="G22" s="230"/>
      <c r="H22" s="230"/>
      <c r="I22" s="230"/>
      <c r="J22" s="230"/>
      <c r="K22" s="230"/>
    </row>
    <row r="23" spans="1:13">
      <c r="A23" s="34" t="s">
        <v>1058</v>
      </c>
      <c r="B23" s="34" t="s">
        <v>1059</v>
      </c>
      <c r="C23" s="34" t="s">
        <v>1065</v>
      </c>
      <c r="D23" s="34" t="s">
        <v>1066</v>
      </c>
      <c r="E23" s="34" t="s">
        <v>1067</v>
      </c>
      <c r="F23" s="34" t="s">
        <v>1068</v>
      </c>
      <c r="G23" s="34" t="s">
        <v>1069</v>
      </c>
      <c r="H23" s="34" t="s">
        <v>1070</v>
      </c>
      <c r="I23" s="34" t="s">
        <v>1071</v>
      </c>
      <c r="J23" s="34" t="s">
        <v>1072</v>
      </c>
      <c r="K23" s="34" t="s">
        <v>1073</v>
      </c>
    </row>
    <row r="24" spans="1:13">
      <c r="A24" s="258"/>
      <c r="B24" s="16"/>
      <c r="C24" s="258"/>
      <c r="D24" s="258" t="s">
        <v>1125</v>
      </c>
      <c r="E24" s="258" t="s">
        <v>236</v>
      </c>
      <c r="F24" s="258" t="s">
        <v>1956</v>
      </c>
      <c r="G24" s="146" t="s">
        <v>237</v>
      </c>
      <c r="H24" s="146" t="s">
        <v>1957</v>
      </c>
      <c r="I24" s="16" t="s">
        <v>519</v>
      </c>
      <c r="J24" s="16"/>
      <c r="K24" s="16" t="s">
        <v>1958</v>
      </c>
      <c r="L24" s="126"/>
      <c r="M24" s="13" t="str">
        <f>"COMMENT ON COLUMN PG_GOLD."&amp;G24&amp;"."&amp;H24&amp;" IS '"&amp;K24&amp;"';"</f>
        <v>COMMENT ON COLUMN PG_GOLD.FCT_LOAN_AR.CDR_DT_DIM_KEY IS 'Chiều ngày dữ liệu';</v>
      </c>
    </row>
    <row r="25" spans="1:13">
      <c r="A25" s="121" t="s">
        <v>1936</v>
      </c>
      <c r="B25" s="31" t="s">
        <v>80</v>
      </c>
      <c r="C25" s="258" t="s">
        <v>1845</v>
      </c>
      <c r="D25" s="258" t="s">
        <v>1128</v>
      </c>
      <c r="E25" s="258" t="s">
        <v>236</v>
      </c>
      <c r="F25" s="258" t="s">
        <v>1959</v>
      </c>
      <c r="G25" s="146" t="s">
        <v>237</v>
      </c>
      <c r="H25" s="146" t="s">
        <v>1960</v>
      </c>
      <c r="I25" s="16" t="s">
        <v>1079</v>
      </c>
      <c r="J25" s="16">
        <v>40</v>
      </c>
      <c r="K25" s="16" t="s">
        <v>1961</v>
      </c>
      <c r="L25" s="126"/>
      <c r="M25" s="13" t="str">
        <f>"COMMENT ON COLUMN PG_GOLD."&amp;G25&amp;"."&amp;H25&amp;" IS '"&amp;K25&amp;"';"</f>
        <v>COMMENT ON COLUMN PG_GOLD.FCT_LOAN_AR.LOAN_AR_DIM_KEY IS 'Chiều Hợp đồng vay';</v>
      </c>
    </row>
    <row r="26" spans="1:13">
      <c r="A26" s="121" t="s">
        <v>1936</v>
      </c>
      <c r="B26" s="31" t="s">
        <v>231</v>
      </c>
      <c r="C26" s="258" t="s">
        <v>1845</v>
      </c>
      <c r="D26" s="258" t="s">
        <v>1128</v>
      </c>
      <c r="E26" s="258" t="s">
        <v>236</v>
      </c>
      <c r="F26" s="258" t="s">
        <v>1962</v>
      </c>
      <c r="G26" s="146" t="s">
        <v>237</v>
      </c>
      <c r="H26" s="146" t="s">
        <v>1963</v>
      </c>
      <c r="I26" s="16" t="s">
        <v>1079</v>
      </c>
      <c r="J26" s="16">
        <v>40</v>
      </c>
      <c r="K26" s="258" t="s">
        <v>1964</v>
      </c>
      <c r="L26" s="126"/>
      <c r="M26" s="13" t="str">
        <f>"COMMENT ON COLUMN PG_GOLD."&amp;G26&amp;"."&amp;H26&amp;" IS '"&amp;K26&amp;"';"</f>
        <v>COMMENT ON COLUMN PG_GOLD.FCT_LOAN_AR.CST_DIM_KEY IS 'Chiều Khách hàng';</v>
      </c>
    </row>
    <row r="27" spans="1:13">
      <c r="A27" s="121" t="s">
        <v>1936</v>
      </c>
      <c r="B27" s="31" t="s">
        <v>103</v>
      </c>
      <c r="C27" s="258" t="s">
        <v>1845</v>
      </c>
      <c r="D27" s="258" t="s">
        <v>1128</v>
      </c>
      <c r="E27" s="258" t="s">
        <v>236</v>
      </c>
      <c r="F27" s="285" t="s">
        <v>1965</v>
      </c>
      <c r="G27" s="146" t="s">
        <v>237</v>
      </c>
      <c r="H27" s="146" t="s">
        <v>1966</v>
      </c>
      <c r="I27" s="16" t="s">
        <v>1079</v>
      </c>
      <c r="J27" s="16">
        <v>40</v>
      </c>
      <c r="K27" s="285" t="s">
        <v>1967</v>
      </c>
      <c r="L27" s="126"/>
      <c r="M27" s="13" t="str">
        <f>"COMMENT ON COLUMN PG_GOLD."&amp;G27&amp;"."&amp;H27&amp;" IS '"&amp;K27&amp;"';"</f>
        <v>COMMENT ON COLUMN PG_GOLD.FCT_LOAN_AR.PD_DIM_KEY IS 'Chiều Sản phẩm';</v>
      </c>
    </row>
    <row r="28" spans="1:13">
      <c r="A28" s="121" t="s">
        <v>1936</v>
      </c>
      <c r="B28" s="31" t="s">
        <v>113</v>
      </c>
      <c r="C28" s="258" t="s">
        <v>1845</v>
      </c>
      <c r="D28" s="258" t="s">
        <v>1128</v>
      </c>
      <c r="E28" s="258" t="s">
        <v>236</v>
      </c>
      <c r="F28" s="285" t="s">
        <v>1968</v>
      </c>
      <c r="G28" s="146" t="s">
        <v>237</v>
      </c>
      <c r="H28" s="16" t="s">
        <v>1969</v>
      </c>
      <c r="I28" s="16" t="s">
        <v>1079</v>
      </c>
      <c r="J28" s="16">
        <v>40</v>
      </c>
      <c r="K28" s="258" t="s">
        <v>1970</v>
      </c>
      <c r="L28" s="126"/>
      <c r="M28" s="13" t="str">
        <f>"COMMENT ON COLUMN PG_GOLD."&amp;G28&amp;"."&amp;H28&amp;" IS '"&amp;K28&amp;"';"</f>
        <v>COMMENT ON COLUMN PG_GOLD.FCT_LOAN_AR.OU_DIM_KEY IS 'Chiều chi nhánh';</v>
      </c>
    </row>
    <row r="29" spans="1:13">
      <c r="A29" s="121" t="s">
        <v>1936</v>
      </c>
      <c r="B29" s="121" t="s">
        <v>94</v>
      </c>
      <c r="C29" s="258" t="s">
        <v>1845</v>
      </c>
      <c r="D29" s="258" t="s">
        <v>1128</v>
      </c>
      <c r="E29" s="258" t="s">
        <v>236</v>
      </c>
      <c r="F29" s="285" t="s">
        <v>1971</v>
      </c>
      <c r="G29" s="146" t="s">
        <v>237</v>
      </c>
      <c r="H29" s="16" t="s">
        <v>1972</v>
      </c>
      <c r="I29" s="16" t="s">
        <v>1079</v>
      </c>
      <c r="J29" s="16">
        <v>40</v>
      </c>
      <c r="K29" s="258" t="s">
        <v>1973</v>
      </c>
      <c r="L29" s="126"/>
      <c r="M29" s="13" t="str">
        <f>"COMMENT ON COLUMN PG_GOLD."&amp;G29&amp;"."&amp;H29&amp;" IS '"&amp;K29&amp;"';"</f>
        <v>COMMENT ON COLUMN PG_GOLD.FCT_LOAN_AR.CCY_DIM_KEY IS 'Chiều loại tiền';</v>
      </c>
    </row>
    <row r="30" spans="1:13">
      <c r="A30" s="121" t="s">
        <v>1936</v>
      </c>
      <c r="B30" s="121" t="s">
        <v>1947</v>
      </c>
      <c r="C30" s="258" t="s">
        <v>1845</v>
      </c>
      <c r="D30" s="258" t="s">
        <v>1128</v>
      </c>
      <c r="E30" s="258" t="s">
        <v>236</v>
      </c>
      <c r="F30" s="285" t="s">
        <v>1974</v>
      </c>
      <c r="G30" s="146" t="s">
        <v>237</v>
      </c>
      <c r="H30" s="258" t="s">
        <v>1975</v>
      </c>
      <c r="I30" s="16" t="s">
        <v>1079</v>
      </c>
      <c r="J30" s="16">
        <v>40</v>
      </c>
      <c r="K30" s="258" t="s">
        <v>1976</v>
      </c>
      <c r="L30" s="126"/>
      <c r="M30" s="13" t="str">
        <f>"COMMENT ON COLUMN PG_GOLD."&amp;G30&amp;"."&amp;H30&amp;" IS '"&amp;K30&amp;"';"</f>
        <v>COMMENT ON COLUMN PG_GOLD.FCT_LOAN_AR.LMT_DIM_KEY IS 'Chiều hạn mức';</v>
      </c>
    </row>
    <row r="31" spans="1:13">
      <c r="A31" s="121" t="s">
        <v>1936</v>
      </c>
      <c r="B31" s="285" t="s">
        <v>138</v>
      </c>
      <c r="C31" s="258" t="s">
        <v>1845</v>
      </c>
      <c r="D31" s="258" t="s">
        <v>1128</v>
      </c>
      <c r="E31" s="258" t="s">
        <v>236</v>
      </c>
      <c r="F31" s="258" t="s">
        <v>1977</v>
      </c>
      <c r="G31" s="146" t="s">
        <v>237</v>
      </c>
      <c r="H31" s="258" t="s">
        <v>1978</v>
      </c>
      <c r="I31" s="16" t="s">
        <v>1079</v>
      </c>
      <c r="J31" s="16">
        <v>40</v>
      </c>
      <c r="K31" s="258" t="s">
        <v>1979</v>
      </c>
      <c r="L31" s="126"/>
      <c r="M31" s="13" t="str">
        <f>"COMMENT ON COLUMN PG_GOLD."&amp;G31&amp;"."&amp;H31&amp;" IS '"&amp;K31&amp;"';"</f>
        <v>COMMENT ON COLUMN PG_GOLD.FCT_LOAN_AR.LOAN_RSTC_TP_DIM_KEY IS 'Chiều loại tái cấu trúc';</v>
      </c>
    </row>
    <row r="32" spans="1:13">
      <c r="A32" s="121" t="s">
        <v>1936</v>
      </c>
      <c r="B32" s="285" t="s">
        <v>1980</v>
      </c>
      <c r="C32" s="258" t="s">
        <v>1845</v>
      </c>
      <c r="D32" s="258" t="s">
        <v>1128</v>
      </c>
      <c r="E32" s="258" t="s">
        <v>236</v>
      </c>
      <c r="F32" s="258" t="s">
        <v>1981</v>
      </c>
      <c r="G32" s="146" t="s">
        <v>237</v>
      </c>
      <c r="H32" s="258" t="s">
        <v>1982</v>
      </c>
      <c r="I32" s="16" t="s">
        <v>1079</v>
      </c>
      <c r="J32" s="16">
        <v>40</v>
      </c>
      <c r="K32" s="258" t="s">
        <v>1983</v>
      </c>
      <c r="L32" s="126"/>
      <c r="M32" s="13" t="str">
        <f>"COMMENT ON COLUMN PG_GOLD."&amp;G32&amp;"."&amp;H32&amp;" IS '"&amp;K32&amp;"';"</f>
        <v>COMMENT ON COLUMN PG_GOLD.FCT_LOAN_AR.LOAN_AR_FNC_ST_DIM_KEY IS 'Chiều nhóm nợ hợp đồng vay';</v>
      </c>
    </row>
    <row r="33" spans="1:26">
      <c r="A33" s="121" t="s">
        <v>1936</v>
      </c>
      <c r="B33" s="285" t="s">
        <v>1984</v>
      </c>
      <c r="C33" s="258" t="s">
        <v>1845</v>
      </c>
      <c r="D33" s="258" t="s">
        <v>1128</v>
      </c>
      <c r="E33" s="258" t="s">
        <v>236</v>
      </c>
      <c r="F33" s="258" t="s">
        <v>1985</v>
      </c>
      <c r="G33" s="146" t="s">
        <v>237</v>
      </c>
      <c r="H33" s="258" t="s">
        <v>1986</v>
      </c>
      <c r="I33" s="16" t="s">
        <v>1079</v>
      </c>
      <c r="J33" s="16">
        <v>40</v>
      </c>
      <c r="K33" s="258" t="s">
        <v>1987</v>
      </c>
      <c r="L33" s="126"/>
      <c r="M33" s="13" t="str">
        <f>"COMMENT ON COLUMN PG_GOLD."&amp;G33&amp;"."&amp;H33&amp;" IS '"&amp;K33&amp;"';"</f>
        <v>COMMENT ON COLUMN PG_GOLD.FCT_LOAN_AR.CST_FNC_ST_DIM_KEY IS 'Chiều nhóm nợ khách hàng';</v>
      </c>
    </row>
    <row r="34" spans="1:26">
      <c r="A34" s="231" t="s">
        <v>1302</v>
      </c>
      <c r="B34" s="232" t="s">
        <v>203</v>
      </c>
      <c r="C34" s="233" t="s">
        <v>1526</v>
      </c>
      <c r="D34" s="46" t="s">
        <v>1128</v>
      </c>
      <c r="E34" s="46" t="s">
        <v>236</v>
      </c>
      <c r="F34" s="46" t="s">
        <v>743</v>
      </c>
      <c r="G34" s="233" t="s">
        <v>237</v>
      </c>
      <c r="H34" s="46" t="s">
        <v>1526</v>
      </c>
      <c r="I34" s="46" t="s">
        <v>1327</v>
      </c>
      <c r="J34" s="46">
        <v>10</v>
      </c>
      <c r="K34" s="46" t="s">
        <v>1988</v>
      </c>
      <c r="L34" s="126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>
      <c r="A35" s="121" t="s">
        <v>1302</v>
      </c>
      <c r="B35" s="285" t="s">
        <v>208</v>
      </c>
      <c r="C35" s="285" t="s">
        <v>1550</v>
      </c>
      <c r="D35" s="258" t="s">
        <v>1128</v>
      </c>
      <c r="E35" s="258" t="s">
        <v>236</v>
      </c>
      <c r="F35" s="258" t="s">
        <v>921</v>
      </c>
      <c r="G35" s="146" t="s">
        <v>237</v>
      </c>
      <c r="H35" s="258" t="s">
        <v>1550</v>
      </c>
      <c r="I35" s="258" t="s">
        <v>1106</v>
      </c>
      <c r="J35" s="258">
        <v>25.15</v>
      </c>
      <c r="K35" s="285" t="s">
        <v>920</v>
      </c>
      <c r="L35" s="126"/>
      <c r="M35" s="13" t="str">
        <f>"COMMENT ON COLUMN PG_GOLD."&amp;G35&amp;"."&amp;H35&amp;" IS '"&amp;K35&amp;"';"</f>
        <v>COMMENT ON COLUMN PG_GOLD.FCT_LOAN_AR.PNY_RATE IS 'Lãi phạt penalty rate';</v>
      </c>
    </row>
    <row r="36" spans="1:26">
      <c r="A36" s="121" t="s">
        <v>1302</v>
      </c>
      <c r="B36" s="285" t="s">
        <v>208</v>
      </c>
      <c r="C36" s="285" t="s">
        <v>1552</v>
      </c>
      <c r="D36" s="258" t="s">
        <v>1128</v>
      </c>
      <c r="E36" s="258" t="s">
        <v>236</v>
      </c>
      <c r="F36" s="258" t="s">
        <v>926</v>
      </c>
      <c r="G36" s="146" t="s">
        <v>237</v>
      </c>
      <c r="H36" s="258" t="s">
        <v>1552</v>
      </c>
      <c r="I36" s="258" t="s">
        <v>1106</v>
      </c>
      <c r="J36" s="258">
        <v>25.15</v>
      </c>
      <c r="K36" s="285" t="s">
        <v>925</v>
      </c>
      <c r="L36" s="126"/>
      <c r="M36" s="13" t="str">
        <f>"COMMENT ON COLUMN PG_GOLD."&amp;G36&amp;"."&amp;H36&amp;" IS '"&amp;K36&amp;"';"</f>
        <v>COMMENT ON COLUMN PG_GOLD.FCT_LOAN_AR.ODUE_INT_RATE IS 'Lãi suất cho quá hạn';</v>
      </c>
    </row>
    <row r="37" spans="1:26">
      <c r="A37" s="121" t="s">
        <v>1302</v>
      </c>
      <c r="B37" s="311" t="s">
        <v>223</v>
      </c>
      <c r="C37" s="258"/>
      <c r="D37" s="258" t="s">
        <v>1989</v>
      </c>
      <c r="E37" s="258" t="s">
        <v>236</v>
      </c>
      <c r="F37" s="258" t="s">
        <v>1990</v>
      </c>
      <c r="G37" s="146" t="s">
        <v>237</v>
      </c>
      <c r="H37" s="258" t="s">
        <v>1991</v>
      </c>
      <c r="I37" s="258" t="s">
        <v>1106</v>
      </c>
      <c r="J37" s="258">
        <v>32.5</v>
      </c>
      <c r="K37" s="258" t="s">
        <v>1613</v>
      </c>
      <c r="L37" s="126"/>
      <c r="M37" s="13" t="str">
        <f>"COMMENT ON COLUMN PG_GOLD."&amp;G37&amp;"."&amp;H37&amp;" IS '"&amp;K37&amp;"';"</f>
        <v>COMMENT ON COLUMN PG_GOLD.FCT_LOAN_AR.TOT_INT_ARS_FCY IS 'Tổng lãi phải trả';</v>
      </c>
    </row>
    <row r="38" spans="1:26">
      <c r="A38" s="121" t="s">
        <v>1302</v>
      </c>
      <c r="B38" s="311" t="s">
        <v>223</v>
      </c>
      <c r="C38" s="258" t="s">
        <v>1196</v>
      </c>
      <c r="D38" s="258" t="s">
        <v>1992</v>
      </c>
      <c r="E38" s="258" t="s">
        <v>236</v>
      </c>
      <c r="F38" s="258" t="s">
        <v>1195</v>
      </c>
      <c r="G38" s="146" t="s">
        <v>237</v>
      </c>
      <c r="H38" s="258" t="s">
        <v>1196</v>
      </c>
      <c r="I38" s="258" t="s">
        <v>1106</v>
      </c>
      <c r="J38" s="258">
        <v>32.5</v>
      </c>
      <c r="K38" s="258" t="s">
        <v>1632</v>
      </c>
      <c r="L38" s="126"/>
      <c r="M38" s="13" t="str">
        <f>"COMMENT ON COLUMN PG_GOLD."&amp;G38&amp;"."&amp;H38&amp;" IS '"&amp;K38&amp;"';"</f>
        <v>COMMENT ON COLUMN PG_GOLD.FCT_LOAN_AR.TOT_INT_PAID_AMT_FCY IS 'Tổng lãi đã trả';</v>
      </c>
    </row>
    <row r="39" spans="1:26">
      <c r="A39" s="121" t="s">
        <v>1302</v>
      </c>
      <c r="B39" s="285" t="s">
        <v>213</v>
      </c>
      <c r="C39" s="258" t="s">
        <v>1600</v>
      </c>
      <c r="D39" s="258" t="s">
        <v>1993</v>
      </c>
      <c r="E39" s="258" t="s">
        <v>236</v>
      </c>
      <c r="F39" s="258" t="s">
        <v>1994</v>
      </c>
      <c r="G39" s="146" t="s">
        <v>237</v>
      </c>
      <c r="H39" s="258" t="s">
        <v>1602</v>
      </c>
      <c r="I39" s="258" t="s">
        <v>1106</v>
      </c>
      <c r="J39" s="258">
        <v>32</v>
      </c>
      <c r="K39" s="258" t="s">
        <v>1995</v>
      </c>
      <c r="L39" s="126"/>
      <c r="M39" s="13" t="str">
        <f>"COMMENT ON COLUMN PG_GOLD."&amp;G39&amp;"."&amp;H39&amp;" IS '"&amp;K39&amp;"';"</f>
        <v>COMMENT ON COLUMN PG_GOLD.FCT_LOAN_AR.DYS_IN_PNP_ARS IS 'Số ngày quá hạn gốc';</v>
      </c>
    </row>
    <row r="40" spans="1:26">
      <c r="A40" s="121" t="s">
        <v>1302</v>
      </c>
      <c r="B40" s="285" t="s">
        <v>213</v>
      </c>
      <c r="C40" s="258" t="s">
        <v>1605</v>
      </c>
      <c r="D40" s="258" t="s">
        <v>1996</v>
      </c>
      <c r="E40" s="258" t="s">
        <v>236</v>
      </c>
      <c r="F40" s="258" t="s">
        <v>1997</v>
      </c>
      <c r="G40" s="146" t="s">
        <v>237</v>
      </c>
      <c r="H40" s="258" t="s">
        <v>1607</v>
      </c>
      <c r="I40" s="258" t="s">
        <v>1106</v>
      </c>
      <c r="J40" s="258">
        <v>32</v>
      </c>
      <c r="K40" s="258" t="s">
        <v>1998</v>
      </c>
      <c r="L40" s="126"/>
      <c r="M40" s="13" t="str">
        <f>"COMMENT ON COLUMN PG_GOLD."&amp;G40&amp;"."&amp;H40&amp;" IS '"&amp;K40&amp;"';"</f>
        <v>COMMENT ON COLUMN PG_GOLD.FCT_LOAN_AR.DYS_IN_INT_ARS IS 'Số ngày quá hạn lãi';</v>
      </c>
    </row>
    <row r="41" spans="1:26">
      <c r="A41" s="121" t="s">
        <v>1302</v>
      </c>
      <c r="B41" s="285" t="s">
        <v>213</v>
      </c>
      <c r="C41" s="258" t="s">
        <v>1631</v>
      </c>
      <c r="D41" s="258" t="s">
        <v>1999</v>
      </c>
      <c r="E41" s="258" t="s">
        <v>236</v>
      </c>
      <c r="F41" s="258" t="s">
        <v>1627</v>
      </c>
      <c r="G41" s="146" t="s">
        <v>237</v>
      </c>
      <c r="H41" s="258" t="s">
        <v>1628</v>
      </c>
      <c r="I41" s="258" t="s">
        <v>1106</v>
      </c>
      <c r="J41" s="258">
        <v>32</v>
      </c>
      <c r="K41" s="258" t="s">
        <v>1629</v>
      </c>
      <c r="L41" s="126"/>
      <c r="M41" s="13" t="str">
        <f>"COMMENT ON COLUMN PG_GOLD."&amp;G41&amp;"."&amp;H41&amp;" IS '"&amp;K41&amp;"';"</f>
        <v>COMMENT ON COLUMN PG_GOLD.FCT_LOAN_AR.MX_DYS_IN_ARS IS 'Số ngày quá hạn cao nhất';</v>
      </c>
    </row>
    <row r="42" spans="1:26">
      <c r="A42" s="121" t="s">
        <v>1302</v>
      </c>
      <c r="B42" s="285" t="s">
        <v>213</v>
      </c>
      <c r="C42" s="258" t="s">
        <v>632</v>
      </c>
      <c r="D42" s="258" t="s">
        <v>2000</v>
      </c>
      <c r="E42" s="258" t="s">
        <v>236</v>
      </c>
      <c r="F42" s="258" t="s">
        <v>1113</v>
      </c>
      <c r="G42" s="146" t="s">
        <v>237</v>
      </c>
      <c r="H42" s="258" t="s">
        <v>1114</v>
      </c>
      <c r="I42" s="258" t="s">
        <v>1106</v>
      </c>
      <c r="J42" s="258">
        <v>32</v>
      </c>
      <c r="K42" s="258" t="s">
        <v>1700</v>
      </c>
      <c r="L42" s="126"/>
      <c r="M42" s="13" t="str">
        <f>"COMMENT ON COLUMN PG_GOLD."&amp;G42&amp;"."&amp;H42&amp;" IS '"&amp;K42&amp;"';"</f>
        <v>COMMENT ON COLUMN PG_GOLD.FCT_LOAN_AR.ADDITION_DYS_IN_ARS IS 'Số ngày quá hạn chuyển đổi';</v>
      </c>
    </row>
    <row r="43" spans="1:26">
      <c r="A43" s="121" t="s">
        <v>1302</v>
      </c>
      <c r="B43" s="258" t="s">
        <v>218</v>
      </c>
      <c r="C43" s="258" t="s">
        <v>300</v>
      </c>
      <c r="D43" s="258" t="s">
        <v>2001</v>
      </c>
      <c r="E43" s="258" t="s">
        <v>236</v>
      </c>
      <c r="F43" s="258" t="s">
        <v>2002</v>
      </c>
      <c r="G43" s="146" t="s">
        <v>237</v>
      </c>
      <c r="H43" s="258" t="s">
        <v>2003</v>
      </c>
      <c r="I43" s="258" t="s">
        <v>1106</v>
      </c>
      <c r="J43" s="258">
        <v>32.5</v>
      </c>
      <c r="K43" s="258" t="s">
        <v>2004</v>
      </c>
      <c r="L43" s="126"/>
      <c r="M43" s="13" t="str">
        <f>"COMMENT ON COLUMN PG_GOLD."&amp;G43&amp;"."&amp;H43&amp;" IS '"&amp;K43&amp;"';"</f>
        <v>COMMENT ON COLUMN PG_GOLD.FCT_LOAN_AR.OTSND_AMT_LCY IS 'Dư nợ quy đổi';</v>
      </c>
    </row>
    <row r="44" spans="1:26">
      <c r="A44" s="121" t="s">
        <v>1302</v>
      </c>
      <c r="B44" s="258" t="s">
        <v>1508</v>
      </c>
      <c r="C44" s="311" t="s">
        <v>1619</v>
      </c>
      <c r="D44" s="311" t="s">
        <v>1128</v>
      </c>
      <c r="E44" s="258" t="s">
        <v>236</v>
      </c>
      <c r="F44" s="258" t="s">
        <v>894</v>
      </c>
      <c r="G44" s="146" t="s">
        <v>237</v>
      </c>
      <c r="H44" s="258" t="s">
        <v>1714</v>
      </c>
      <c r="I44" s="258" t="s">
        <v>1106</v>
      </c>
      <c r="J44" s="258">
        <v>25.15</v>
      </c>
      <c r="K44" s="258" t="s">
        <v>1621</v>
      </c>
      <c r="L44" s="126"/>
      <c r="M44" s="13" t="str">
        <f>"COMMENT ON COLUMN PG_GOLD."&amp;G44&amp;"."&amp;H44&amp;" IS '"&amp;K44&amp;"';"</f>
        <v>COMMENT ON COLUMN PG_GOLD.FCT_LOAN_AR.EXG_RATE_TO_LCL_CCY IS 'Tỷ giá';</v>
      </c>
    </row>
    <row r="45" spans="1:26">
      <c r="A45" s="121" t="s">
        <v>1302</v>
      </c>
      <c r="B45" s="285" t="s">
        <v>75</v>
      </c>
      <c r="C45" s="31" t="s">
        <v>1592</v>
      </c>
      <c r="D45" s="258" t="s">
        <v>1128</v>
      </c>
      <c r="E45" s="258" t="s">
        <v>236</v>
      </c>
      <c r="F45" s="258" t="s">
        <v>663</v>
      </c>
      <c r="G45" s="146" t="s">
        <v>237</v>
      </c>
      <c r="H45" s="258" t="s">
        <v>1592</v>
      </c>
      <c r="I45" s="258" t="s">
        <v>1106</v>
      </c>
      <c r="J45" s="258">
        <v>32</v>
      </c>
      <c r="K45" s="258" t="s">
        <v>2005</v>
      </c>
      <c r="L45" s="126"/>
      <c r="M45" s="13" t="str">
        <f>"COMMENT ON COLUMN PG_GOLD."&amp;G45&amp;"."&amp;H45&amp;" IS '"&amp;K45&amp;"';"</f>
        <v>COMMENT ON COLUMN PG_GOLD.FCT_LOAN_AR.NBR_OF_DBT_RSTC IS 'Số lần cơ cấu';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38"/>
  <sheetViews>
    <sheetView workbookViewId="0"/>
  </sheetViews>
  <sheetFormatPr defaultColWidth="14.42578125" defaultRowHeight="15" customHeight="1"/>
  <cols>
    <col min="1" max="1" width="40.42578125" style="259" customWidth="1"/>
    <col min="2" max="2" width="14.85546875" style="259" customWidth="1"/>
    <col min="3" max="3" width="42.28515625" style="259" customWidth="1"/>
    <col min="4" max="4" width="37" style="259" customWidth="1"/>
    <col min="5" max="5" width="22.5703125" style="259" customWidth="1"/>
    <col min="6" max="6" width="19.7109375" style="259" customWidth="1"/>
    <col min="7" max="7" width="14.28515625" style="259" customWidth="1"/>
    <col min="8" max="8" width="20.140625" style="259" customWidth="1"/>
    <col min="10" max="10" width="9.42578125" style="259" customWidth="1"/>
    <col min="11" max="11" width="34" style="259" customWidth="1"/>
  </cols>
  <sheetData>
    <row r="1" spans="1:13">
      <c r="A1" s="34" t="s">
        <v>1057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81"/>
      <c r="B3" s="281"/>
      <c r="C3" s="281"/>
      <c r="D3" s="42"/>
      <c r="E3" s="28"/>
      <c r="F3" s="28"/>
      <c r="G3" s="28"/>
      <c r="H3" s="28"/>
      <c r="I3" s="28"/>
      <c r="J3" s="28"/>
      <c r="K3" s="28"/>
    </row>
    <row r="4" spans="1:13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13">
      <c r="A5" s="34" t="s">
        <v>1058</v>
      </c>
      <c r="B5" s="34" t="s">
        <v>1059</v>
      </c>
      <c r="C5" s="34" t="s">
        <v>1065</v>
      </c>
      <c r="D5" s="34" t="s">
        <v>1066</v>
      </c>
      <c r="E5" s="34" t="s">
        <v>1067</v>
      </c>
      <c r="F5" s="34" t="s">
        <v>1068</v>
      </c>
      <c r="G5" s="34" t="s">
        <v>1069</v>
      </c>
      <c r="H5" s="34" t="s">
        <v>1070</v>
      </c>
      <c r="I5" s="34" t="s">
        <v>1071</v>
      </c>
      <c r="J5" s="34" t="s">
        <v>1072</v>
      </c>
      <c r="K5" s="34" t="s">
        <v>1073</v>
      </c>
    </row>
    <row r="6" spans="1:13">
      <c r="A6" s="281"/>
      <c r="B6" s="281"/>
      <c r="C6" s="258"/>
      <c r="D6" s="258"/>
      <c r="E6" s="258" t="s">
        <v>132</v>
      </c>
      <c r="F6" s="258" t="s">
        <v>2006</v>
      </c>
      <c r="G6" s="31" t="s">
        <v>133</v>
      </c>
      <c r="H6" s="31" t="s">
        <v>1888</v>
      </c>
      <c r="I6" s="16" t="s">
        <v>1079</v>
      </c>
      <c r="J6" s="16">
        <v>32</v>
      </c>
      <c r="K6" s="16" t="s">
        <v>2007</v>
      </c>
      <c r="M6" s="13" t="str">
        <f>"COMMENT ON COLUMN PG_SILVER."&amp;G6&amp;"."&amp;H6&amp;" IS '"&amp;K6&amp;"';"</f>
        <v>COMMENT ON COLUMN PG_SILVER.CV.CL_ID IS 'Mã duy nhất của CL';</v>
      </c>
    </row>
    <row r="7" spans="1:13">
      <c r="A7" s="281"/>
      <c r="B7" s="281"/>
      <c r="C7" s="258"/>
      <c r="D7" s="258"/>
      <c r="E7" s="258" t="s">
        <v>132</v>
      </c>
      <c r="F7" s="258" t="s">
        <v>2008</v>
      </c>
      <c r="G7" s="31" t="s">
        <v>133</v>
      </c>
      <c r="H7" s="31" t="s">
        <v>1892</v>
      </c>
      <c r="I7" s="16" t="s">
        <v>1327</v>
      </c>
      <c r="J7" s="16">
        <v>20</v>
      </c>
      <c r="K7" s="258" t="s">
        <v>2009</v>
      </c>
      <c r="M7" s="13" t="str">
        <f>"COMMENT ON COLUMN PG_SILVER."&amp;G7&amp;"."&amp;H7&amp;" IS '"&amp;K7&amp;"';"</f>
        <v>COMMENT ON COLUMN PG_SILVER.CV.CL_CODE IS 'Mã phân loại';</v>
      </c>
    </row>
    <row r="8" spans="1:13">
      <c r="A8" s="281"/>
      <c r="B8" s="281"/>
      <c r="C8" s="285"/>
      <c r="D8" s="258"/>
      <c r="E8" s="258" t="s">
        <v>132</v>
      </c>
      <c r="F8" s="285" t="s">
        <v>2010</v>
      </c>
      <c r="G8" s="31" t="s">
        <v>133</v>
      </c>
      <c r="H8" s="31" t="s">
        <v>1896</v>
      </c>
      <c r="I8" s="16" t="s">
        <v>1327</v>
      </c>
      <c r="J8" s="16">
        <v>1000</v>
      </c>
      <c r="K8" s="285" t="s">
        <v>2011</v>
      </c>
      <c r="M8" s="13" t="str">
        <f>"COMMENT ON COLUMN PG_SILVER."&amp;G8&amp;"."&amp;H8&amp;" IS '"&amp;K8&amp;"';"</f>
        <v>COMMENT ON COLUMN PG_SILVER.CV.CL_DSC IS 'mô tả';</v>
      </c>
    </row>
    <row r="9" spans="1:13">
      <c r="A9" s="306"/>
      <c r="B9" s="306"/>
      <c r="C9" s="13"/>
      <c r="D9" s="228" t="s">
        <v>2012</v>
      </c>
      <c r="E9" s="258" t="s">
        <v>132</v>
      </c>
      <c r="F9" s="285" t="s">
        <v>2013</v>
      </c>
      <c r="G9" s="31" t="s">
        <v>133</v>
      </c>
      <c r="H9" s="31" t="s">
        <v>2014</v>
      </c>
      <c r="I9" s="16" t="s">
        <v>1327</v>
      </c>
      <c r="J9" s="16">
        <v>30</v>
      </c>
      <c r="K9" s="285" t="s">
        <v>2015</v>
      </c>
    </row>
    <row r="10" spans="1:13">
      <c r="A10" s="306"/>
      <c r="B10" s="306"/>
      <c r="C10" s="13"/>
      <c r="D10" s="258"/>
      <c r="E10" s="258" t="s">
        <v>132</v>
      </c>
      <c r="F10" s="13" t="s">
        <v>1093</v>
      </c>
      <c r="G10" s="31" t="s">
        <v>133</v>
      </c>
      <c r="H10" s="16" t="s">
        <v>316</v>
      </c>
      <c r="I10" s="16" t="s">
        <v>1327</v>
      </c>
      <c r="J10" s="16">
        <v>20</v>
      </c>
      <c r="K10" s="285" t="s">
        <v>317</v>
      </c>
      <c r="M10" s="13" t="str">
        <f>"COMMENT ON COLUMN PG_SILVER."&amp;G10&amp;"."&amp;H10&amp;" IS '"&amp;K10&amp;"';"</f>
        <v>COMMENT ON COLUMN PG_SILVER.CV.SRC_STM_CODE IS 'Nguồn dữ liệu';</v>
      </c>
    </row>
    <row r="11" spans="1:13">
      <c r="A11" s="306"/>
      <c r="B11" s="306"/>
      <c r="D11" s="16"/>
      <c r="E11" s="258" t="s">
        <v>132</v>
      </c>
      <c r="F11" s="16" t="s">
        <v>1290</v>
      </c>
      <c r="G11" s="31" t="s">
        <v>133</v>
      </c>
      <c r="H11" s="16" t="s">
        <v>1291</v>
      </c>
      <c r="I11" s="16" t="s">
        <v>519</v>
      </c>
      <c r="J11" s="16"/>
      <c r="K11" s="16" t="s">
        <v>1292</v>
      </c>
      <c r="M11" s="13" t="str">
        <f>"COMMENT ON COLUMN PG_SILVER."&amp;G11&amp;"."&amp;H11&amp;" IS '"&amp;K11&amp;"';"</f>
        <v>COMMENT ON COLUMN PG_SILVER.CV.SYS_EFF_DT IS 'Ngày bản ghi lần đầu tiên vào hệ thống';</v>
      </c>
    </row>
    <row r="12" spans="1:13">
      <c r="D12" s="16"/>
      <c r="E12" s="258" t="s">
        <v>132</v>
      </c>
      <c r="F12" s="16" t="s">
        <v>1294</v>
      </c>
      <c r="G12" s="31" t="s">
        <v>133</v>
      </c>
      <c r="H12" s="16" t="s">
        <v>1295</v>
      </c>
      <c r="I12" s="16" t="s">
        <v>519</v>
      </c>
      <c r="J12" s="16"/>
      <c r="K12" s="16" t="s">
        <v>1296</v>
      </c>
      <c r="M12" s="13" t="str">
        <f>"COMMENT ON COLUMN PG_SILVER."&amp;G12&amp;"."&amp;H12&amp;" IS '"&amp;K12&amp;"';"</f>
        <v>COMMENT ON COLUMN PG_SILVER.CV.SYS_EXP_DT IS 'Ngày hết hạn của bản ghi';</v>
      </c>
    </row>
    <row r="13" spans="1:13">
      <c r="D13" s="16"/>
      <c r="E13" s="258" t="s">
        <v>132</v>
      </c>
      <c r="F13" s="16" t="s">
        <v>1298</v>
      </c>
      <c r="G13" s="31" t="s">
        <v>133</v>
      </c>
      <c r="H13" s="16" t="s">
        <v>1299</v>
      </c>
      <c r="I13" s="16" t="s">
        <v>519</v>
      </c>
      <c r="J13" s="16"/>
      <c r="K13" s="16" t="s">
        <v>1300</v>
      </c>
      <c r="M13" s="13" t="str">
        <f>"COMMENT ON COLUMN PG_SILVER."&amp;G13&amp;"."&amp;H13&amp;" IS '"&amp;K13&amp;"';"</f>
        <v>COMMENT ON COLUMN PG_SILVER.CV.SYS_UDT_DT IS 'Ngày update dữ liệu gần nhất';</v>
      </c>
    </row>
    <row r="14" spans="1:13">
      <c r="A14" s="13" t="s">
        <v>1433</v>
      </c>
    </row>
    <row r="16" spans="1:13">
      <c r="A16" s="34" t="s">
        <v>1058</v>
      </c>
      <c r="B16" s="34" t="s">
        <v>1059</v>
      </c>
      <c r="C16" s="34" t="s">
        <v>1065</v>
      </c>
      <c r="D16" s="34" t="s">
        <v>1066</v>
      </c>
      <c r="E16" s="34" t="s">
        <v>1067</v>
      </c>
      <c r="F16" s="34" t="s">
        <v>1068</v>
      </c>
      <c r="G16" s="34" t="s">
        <v>1069</v>
      </c>
      <c r="H16" s="34" t="s">
        <v>1070</v>
      </c>
      <c r="I16" s="34" t="s">
        <v>1071</v>
      </c>
      <c r="J16" s="34" t="s">
        <v>1072</v>
      </c>
      <c r="K16" s="34" t="s">
        <v>1073</v>
      </c>
    </row>
    <row r="17" spans="1:11">
      <c r="A17" s="281"/>
      <c r="B17" s="281"/>
      <c r="C17" s="258"/>
      <c r="D17" s="258"/>
      <c r="E17" s="258" t="s">
        <v>132</v>
      </c>
      <c r="F17" s="258" t="s">
        <v>2006</v>
      </c>
      <c r="G17" s="31" t="s">
        <v>133</v>
      </c>
      <c r="H17" s="31" t="s">
        <v>1888</v>
      </c>
      <c r="I17" s="16" t="s">
        <v>1079</v>
      </c>
      <c r="J17" s="16">
        <v>32</v>
      </c>
      <c r="K17" s="16" t="s">
        <v>2007</v>
      </c>
    </row>
    <row r="18" spans="1:11">
      <c r="A18" s="281"/>
      <c r="B18" s="281"/>
      <c r="C18" s="258"/>
      <c r="D18" s="258"/>
      <c r="E18" s="258" t="s">
        <v>132</v>
      </c>
      <c r="F18" s="258" t="s">
        <v>2008</v>
      </c>
      <c r="G18" s="31" t="s">
        <v>133</v>
      </c>
      <c r="H18" s="31" t="s">
        <v>1892</v>
      </c>
      <c r="I18" s="16" t="s">
        <v>1327</v>
      </c>
      <c r="J18" s="16">
        <v>20</v>
      </c>
      <c r="K18" s="258" t="s">
        <v>2009</v>
      </c>
    </row>
    <row r="19" spans="1:11">
      <c r="A19" s="281"/>
      <c r="B19" s="281"/>
      <c r="C19" s="285"/>
      <c r="D19" s="258"/>
      <c r="E19" s="258" t="s">
        <v>132</v>
      </c>
      <c r="F19" s="285" t="s">
        <v>2010</v>
      </c>
      <c r="G19" s="31" t="s">
        <v>133</v>
      </c>
      <c r="H19" s="31" t="s">
        <v>1896</v>
      </c>
      <c r="I19" s="16" t="s">
        <v>1327</v>
      </c>
      <c r="J19" s="16">
        <v>1000</v>
      </c>
      <c r="K19" s="285" t="s">
        <v>2011</v>
      </c>
    </row>
    <row r="20" spans="1:11">
      <c r="A20" s="306"/>
      <c r="B20" s="306"/>
      <c r="C20" s="13"/>
      <c r="D20" s="228" t="s">
        <v>2016</v>
      </c>
      <c r="E20" s="258" t="s">
        <v>132</v>
      </c>
      <c r="F20" s="285" t="s">
        <v>2013</v>
      </c>
      <c r="G20" s="31" t="s">
        <v>133</v>
      </c>
      <c r="H20" s="31" t="s">
        <v>2014</v>
      </c>
      <c r="I20" s="16" t="s">
        <v>1327</v>
      </c>
      <c r="J20" s="16">
        <v>30</v>
      </c>
      <c r="K20" s="285" t="s">
        <v>2015</v>
      </c>
    </row>
    <row r="21" spans="1:11">
      <c r="A21" s="306"/>
      <c r="B21" s="306"/>
      <c r="C21" s="13"/>
      <c r="D21" s="258"/>
      <c r="E21" s="258" t="s">
        <v>132</v>
      </c>
      <c r="F21" s="13" t="s">
        <v>1093</v>
      </c>
      <c r="G21" s="31" t="s">
        <v>133</v>
      </c>
      <c r="H21" s="16" t="s">
        <v>316</v>
      </c>
      <c r="I21" s="16" t="s">
        <v>1327</v>
      </c>
      <c r="J21" s="16">
        <v>20</v>
      </c>
      <c r="K21" s="285" t="s">
        <v>317</v>
      </c>
    </row>
    <row r="22" spans="1:11">
      <c r="A22" s="306"/>
      <c r="B22" s="306"/>
      <c r="D22" s="16"/>
      <c r="E22" s="258" t="s">
        <v>132</v>
      </c>
      <c r="F22" s="16" t="s">
        <v>1290</v>
      </c>
      <c r="G22" s="31" t="s">
        <v>133</v>
      </c>
      <c r="H22" s="16" t="s">
        <v>1291</v>
      </c>
      <c r="I22" s="16" t="s">
        <v>519</v>
      </c>
      <c r="J22" s="16"/>
      <c r="K22" s="16" t="s">
        <v>1292</v>
      </c>
    </row>
    <row r="23" spans="1:11">
      <c r="D23" s="16"/>
      <c r="E23" s="258" t="s">
        <v>132</v>
      </c>
      <c r="F23" s="16" t="s">
        <v>1294</v>
      </c>
      <c r="G23" s="31" t="s">
        <v>133</v>
      </c>
      <c r="H23" s="16" t="s">
        <v>1295</v>
      </c>
      <c r="I23" s="16" t="s">
        <v>519</v>
      </c>
      <c r="J23" s="16"/>
      <c r="K23" s="16" t="s">
        <v>1296</v>
      </c>
    </row>
    <row r="24" spans="1:11">
      <c r="D24" s="16"/>
      <c r="E24" s="258" t="s">
        <v>132</v>
      </c>
      <c r="F24" s="16" t="s">
        <v>1298</v>
      </c>
      <c r="G24" s="31" t="s">
        <v>133</v>
      </c>
      <c r="H24" s="16" t="s">
        <v>1299</v>
      </c>
      <c r="I24" s="16" t="s">
        <v>519</v>
      </c>
      <c r="J24" s="16"/>
      <c r="K24" s="16" t="s">
        <v>1300</v>
      </c>
    </row>
    <row r="25" spans="1:11">
      <c r="A25" s="126"/>
      <c r="B25" s="126"/>
      <c r="C25" s="126"/>
    </row>
    <row r="26" spans="1:11">
      <c r="A26" s="31" t="s">
        <v>1888</v>
      </c>
      <c r="B26" s="31" t="s">
        <v>1892</v>
      </c>
      <c r="C26" s="31" t="s">
        <v>1892</v>
      </c>
      <c r="D26" s="258" t="s">
        <v>2014</v>
      </c>
    </row>
    <row r="27" spans="1:11">
      <c r="A27" s="258" t="s">
        <v>2017</v>
      </c>
      <c r="B27" s="234">
        <v>1</v>
      </c>
      <c r="C27" s="5" t="s">
        <v>2018</v>
      </c>
      <c r="D27" s="258" t="s">
        <v>2019</v>
      </c>
    </row>
    <row r="28" spans="1:11">
      <c r="A28" s="258" t="s">
        <v>2020</v>
      </c>
      <c r="B28" s="234">
        <v>2</v>
      </c>
      <c r="C28" s="5" t="s">
        <v>2021</v>
      </c>
      <c r="D28" s="258" t="s">
        <v>2019</v>
      </c>
    </row>
    <row r="29" spans="1:11">
      <c r="A29" s="258" t="s">
        <v>2022</v>
      </c>
      <c r="B29" s="234">
        <v>3</v>
      </c>
      <c r="C29" s="5" t="s">
        <v>2023</v>
      </c>
      <c r="D29" s="258" t="s">
        <v>2019</v>
      </c>
    </row>
    <row r="30" spans="1:11">
      <c r="A30" s="258" t="s">
        <v>2024</v>
      </c>
      <c r="B30" s="234">
        <v>4</v>
      </c>
      <c r="C30" s="5" t="s">
        <v>2025</v>
      </c>
      <c r="D30" s="258" t="s">
        <v>2019</v>
      </c>
    </row>
    <row r="31" spans="1:11">
      <c r="A31" s="258" t="s">
        <v>2026</v>
      </c>
      <c r="B31" s="234">
        <v>5</v>
      </c>
      <c r="C31" s="5" t="s">
        <v>2027</v>
      </c>
      <c r="D31" s="258" t="s">
        <v>2019</v>
      </c>
    </row>
    <row r="32" spans="1:11">
      <c r="A32" s="258" t="s">
        <v>2028</v>
      </c>
      <c r="B32" s="234">
        <v>6</v>
      </c>
      <c r="C32" s="5" t="s">
        <v>2029</v>
      </c>
      <c r="D32" s="258" t="s">
        <v>2019</v>
      </c>
    </row>
    <row r="33" spans="1:4">
      <c r="A33" s="258" t="s">
        <v>2030</v>
      </c>
      <c r="B33" s="234">
        <v>7</v>
      </c>
      <c r="C33" s="5" t="s">
        <v>2031</v>
      </c>
      <c r="D33" s="258" t="s">
        <v>2019</v>
      </c>
    </row>
    <row r="34" spans="1:4">
      <c r="A34" s="258" t="s">
        <v>2032</v>
      </c>
      <c r="B34" s="235">
        <v>1</v>
      </c>
      <c r="C34" s="236" t="s">
        <v>2033</v>
      </c>
      <c r="D34" s="258" t="s">
        <v>2034</v>
      </c>
    </row>
    <row r="35" spans="1:4">
      <c r="A35" s="258" t="s">
        <v>2035</v>
      </c>
      <c r="B35" s="235">
        <v>2</v>
      </c>
      <c r="C35" s="236" t="s">
        <v>2036</v>
      </c>
      <c r="D35" s="258" t="s">
        <v>2034</v>
      </c>
    </row>
    <row r="36" spans="1:4">
      <c r="A36" s="258" t="s">
        <v>2037</v>
      </c>
      <c r="B36" s="235">
        <v>3</v>
      </c>
      <c r="C36" s="236" t="s">
        <v>2038</v>
      </c>
      <c r="D36" s="258" t="s">
        <v>2034</v>
      </c>
    </row>
    <row r="37" spans="1:4">
      <c r="A37" s="258" t="s">
        <v>2039</v>
      </c>
      <c r="B37" s="235">
        <v>4</v>
      </c>
      <c r="C37" s="236" t="s">
        <v>2040</v>
      </c>
      <c r="D37" s="258" t="s">
        <v>2034</v>
      </c>
    </row>
    <row r="38" spans="1:4">
      <c r="A38" s="258" t="s">
        <v>2041</v>
      </c>
      <c r="B38" s="258">
        <v>5</v>
      </c>
      <c r="C38" s="236" t="s">
        <v>2042</v>
      </c>
      <c r="D38" s="258" t="s">
        <v>2034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13"/>
  <sheetViews>
    <sheetView workbookViewId="0"/>
  </sheetViews>
  <sheetFormatPr defaultColWidth="14.42578125" defaultRowHeight="15" customHeight="1"/>
  <cols>
    <col min="2" max="2" width="20.28515625" style="259" customWidth="1"/>
    <col min="3" max="3" width="19.5703125" style="259" customWidth="1"/>
    <col min="4" max="4" width="37" style="259" customWidth="1"/>
    <col min="5" max="5" width="17.42578125" style="259" customWidth="1"/>
    <col min="6" max="6" width="19.7109375" style="259" customWidth="1"/>
    <col min="7" max="7" width="9.85546875" style="259" customWidth="1"/>
    <col min="8" max="8" width="20.140625" style="259" customWidth="1"/>
    <col min="10" max="10" width="9.42578125" style="259" customWidth="1"/>
    <col min="11" max="11" width="34" style="259" customWidth="1"/>
  </cols>
  <sheetData>
    <row r="1" spans="1:13">
      <c r="A1" s="34" t="s">
        <v>1731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81" t="s">
        <v>1208</v>
      </c>
      <c r="B3" s="281" t="s">
        <v>1823</v>
      </c>
      <c r="C3" s="281" t="s">
        <v>1874</v>
      </c>
      <c r="D3" s="42"/>
      <c r="E3" s="28"/>
      <c r="F3" s="28"/>
      <c r="G3" s="28"/>
      <c r="H3" s="28"/>
      <c r="I3" s="28"/>
      <c r="J3" s="28"/>
      <c r="K3" s="28"/>
    </row>
    <row r="4" spans="1:13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13">
      <c r="A5" s="34" t="s">
        <v>1058</v>
      </c>
      <c r="B5" s="34" t="s">
        <v>1059</v>
      </c>
      <c r="C5" s="34" t="s">
        <v>1065</v>
      </c>
      <c r="D5" s="34" t="s">
        <v>1066</v>
      </c>
      <c r="E5" s="34" t="s">
        <v>1067</v>
      </c>
      <c r="F5" s="34" t="s">
        <v>1068</v>
      </c>
      <c r="G5" s="34" t="s">
        <v>1069</v>
      </c>
      <c r="H5" s="34" t="s">
        <v>1070</v>
      </c>
      <c r="I5" s="34" t="s">
        <v>1071</v>
      </c>
      <c r="J5" s="34" t="s">
        <v>1072</v>
      </c>
      <c r="K5" s="34" t="s">
        <v>1073</v>
      </c>
    </row>
    <row r="6" spans="1:13">
      <c r="A6" s="281" t="s">
        <v>1208</v>
      </c>
      <c r="B6" s="281" t="s">
        <v>1823</v>
      </c>
      <c r="C6" s="258" t="s">
        <v>439</v>
      </c>
      <c r="D6" s="258" t="s">
        <v>2043</v>
      </c>
      <c r="E6" s="258" t="s">
        <v>2044</v>
      </c>
      <c r="F6" s="258" t="s">
        <v>1877</v>
      </c>
      <c r="G6" s="146" t="s">
        <v>89</v>
      </c>
      <c r="H6" s="146" t="s">
        <v>1875</v>
      </c>
      <c r="I6" s="16" t="s">
        <v>1079</v>
      </c>
      <c r="J6" s="16">
        <v>32</v>
      </c>
      <c r="K6" s="16" t="s">
        <v>1878</v>
      </c>
      <c r="L6" s="126"/>
      <c r="M6" s="13" t="str">
        <f>"COMMENT ON COLUMN PG_SILVER."&amp;G6&amp;"."&amp;H6&amp;" IS '"&amp;K6&amp;"';"</f>
        <v>COMMENT ON COLUMN PG_SILVER.CCY.CCY_ID IS 'Mã duy nhất của loại tiền trên DWH';</v>
      </c>
    </row>
    <row r="7" spans="1:13">
      <c r="A7" s="281" t="s">
        <v>1208</v>
      </c>
      <c r="B7" s="281" t="s">
        <v>1823</v>
      </c>
      <c r="C7" s="258" t="s">
        <v>439</v>
      </c>
      <c r="D7" s="258" t="s">
        <v>1128</v>
      </c>
      <c r="E7" s="258" t="s">
        <v>2044</v>
      </c>
      <c r="F7" s="258" t="s">
        <v>752</v>
      </c>
      <c r="G7" s="146" t="s">
        <v>89</v>
      </c>
      <c r="H7" s="146" t="s">
        <v>281</v>
      </c>
      <c r="I7" s="16" t="s">
        <v>1327</v>
      </c>
      <c r="J7" s="16">
        <v>20</v>
      </c>
      <c r="K7" s="258" t="s">
        <v>1879</v>
      </c>
      <c r="L7" s="126"/>
      <c r="M7" s="13" t="str">
        <f>"COMMENT ON COLUMN PG_SILVER."&amp;G7&amp;"."&amp;H7&amp;" IS '"&amp;K7&amp;"';"</f>
        <v>COMMENT ON COLUMN PG_SILVER.CCY.CCY_CODE IS 'Mã loại tiền ';</v>
      </c>
    </row>
    <row r="8" spans="1:13">
      <c r="A8" s="281" t="s">
        <v>1208</v>
      </c>
      <c r="B8" s="281" t="s">
        <v>1823</v>
      </c>
      <c r="C8" s="285" t="s">
        <v>2045</v>
      </c>
      <c r="D8" s="258" t="s">
        <v>1128</v>
      </c>
      <c r="E8" s="258" t="s">
        <v>2044</v>
      </c>
      <c r="F8" s="285" t="s">
        <v>1881</v>
      </c>
      <c r="G8" s="146" t="s">
        <v>89</v>
      </c>
      <c r="H8" s="146" t="s">
        <v>1880</v>
      </c>
      <c r="I8" s="16" t="s">
        <v>1327</v>
      </c>
      <c r="J8" s="16">
        <v>300</v>
      </c>
      <c r="K8" s="285" t="s">
        <v>1882</v>
      </c>
      <c r="L8" s="126"/>
      <c r="M8" s="13" t="str">
        <f>"COMMENT ON COLUMN PG_SILVER."&amp;G8&amp;"."&amp;H8&amp;" IS '"&amp;K8&amp;"';"</f>
        <v>COMMENT ON COLUMN PG_SILVER.CCY.CCY_NM IS 'Tên loại tiền ';</v>
      </c>
    </row>
    <row r="9" spans="1:13">
      <c r="A9" s="281" t="s">
        <v>1208</v>
      </c>
      <c r="B9" s="281" t="s">
        <v>1823</v>
      </c>
      <c r="C9" s="258" t="s">
        <v>1883</v>
      </c>
      <c r="D9" s="258" t="s">
        <v>1128</v>
      </c>
      <c r="E9" s="258" t="s">
        <v>2044</v>
      </c>
      <c r="F9" s="258" t="s">
        <v>1884</v>
      </c>
      <c r="G9" s="146" t="s">
        <v>89</v>
      </c>
      <c r="H9" s="146" t="s">
        <v>1883</v>
      </c>
      <c r="I9" s="16" t="s">
        <v>1327</v>
      </c>
      <c r="J9" s="16">
        <v>20</v>
      </c>
      <c r="K9" s="285" t="s">
        <v>1885</v>
      </c>
      <c r="L9" s="126"/>
      <c r="M9" s="13" t="str">
        <f>"COMMENT ON COLUMN PG_SILVER."&amp;G9&amp;"."&amp;H9&amp;" IS '"&amp;K9&amp;"';"</f>
        <v>COMMENT ON COLUMN PG_SILVER.CCY.NUMERIC_CCY_CODE IS 'Mã tiền tệ dạng số ';</v>
      </c>
    </row>
    <row r="10" spans="1:13">
      <c r="A10" s="306"/>
      <c r="B10" s="306"/>
      <c r="C10" s="13"/>
      <c r="D10" s="228" t="s">
        <v>1833</v>
      </c>
      <c r="E10" s="258"/>
      <c r="F10" s="13" t="s">
        <v>1093</v>
      </c>
      <c r="G10" s="146" t="s">
        <v>89</v>
      </c>
      <c r="H10" s="16" t="s">
        <v>316</v>
      </c>
      <c r="I10" s="16" t="s">
        <v>1327</v>
      </c>
      <c r="J10" s="16">
        <v>20</v>
      </c>
      <c r="K10" s="285" t="s">
        <v>2046</v>
      </c>
      <c r="L10" s="126"/>
      <c r="M10" s="13" t="str">
        <f>"COMMENT ON COLUMN PG_SILVER."&amp;G10&amp;"."&amp;H10&amp;" IS '"&amp;K10&amp;"';"</f>
        <v>COMMENT ON COLUMN PG_SILVER.CCY.SRC_STM_CODE IS 'Mã nguồn dữ liệu';</v>
      </c>
    </row>
    <row r="11" spans="1:13">
      <c r="A11" s="306"/>
      <c r="B11" s="306"/>
      <c r="D11" s="16" t="s">
        <v>2047</v>
      </c>
      <c r="E11" s="258" t="s">
        <v>2044</v>
      </c>
      <c r="F11" s="16" t="s">
        <v>1290</v>
      </c>
      <c r="G11" s="146" t="s">
        <v>89</v>
      </c>
      <c r="H11" s="16" t="s">
        <v>1291</v>
      </c>
      <c r="I11" s="16" t="s">
        <v>519</v>
      </c>
      <c r="J11" s="16"/>
      <c r="K11" s="16" t="s">
        <v>1292</v>
      </c>
      <c r="M11" s="13" t="str">
        <f>"COMMENT ON COLUMN PG_SILVER."&amp;G11&amp;"."&amp;H11&amp;" IS '"&amp;K11&amp;"';"</f>
        <v>COMMENT ON COLUMN PG_SILVER.CCY.SYS_EFF_DT IS 'Ngày bản ghi lần đầu tiên vào hệ thống';</v>
      </c>
    </row>
    <row r="12" spans="1:13">
      <c r="D12" s="16" t="s">
        <v>2048</v>
      </c>
      <c r="E12" s="258" t="s">
        <v>2044</v>
      </c>
      <c r="F12" s="16" t="s">
        <v>1294</v>
      </c>
      <c r="G12" s="146" t="s">
        <v>89</v>
      </c>
      <c r="H12" s="16" t="s">
        <v>1295</v>
      </c>
      <c r="I12" s="16" t="s">
        <v>519</v>
      </c>
      <c r="J12" s="16"/>
      <c r="K12" s="16" t="s">
        <v>1296</v>
      </c>
      <c r="M12" s="13" t="str">
        <f>"COMMENT ON COLUMN PG_SILVER."&amp;G12&amp;"."&amp;H12&amp;" IS '"&amp;K12&amp;"';"</f>
        <v>COMMENT ON COLUMN PG_SILVER.CCY.SYS_EXP_DT IS 'Ngày hết hạn của bản ghi';</v>
      </c>
    </row>
    <row r="13" spans="1:13">
      <c r="D13" s="16" t="s">
        <v>1297</v>
      </c>
      <c r="E13" s="258" t="s">
        <v>2044</v>
      </c>
      <c r="F13" s="16" t="s">
        <v>1298</v>
      </c>
      <c r="G13" s="146" t="s">
        <v>89</v>
      </c>
      <c r="H13" s="16" t="s">
        <v>1299</v>
      </c>
      <c r="I13" s="16" t="s">
        <v>519</v>
      </c>
      <c r="J13" s="16"/>
      <c r="K13" s="16" t="s">
        <v>1300</v>
      </c>
      <c r="M13" s="13" t="str">
        <f>"COMMENT ON COLUMN PG_SILVER."&amp;G13&amp;"."&amp;H13&amp;" IS '"&amp;K13&amp;"';"</f>
        <v>COMMENT ON COLUMN PG_SILVER.CCY.SYS_UDT_DT IS 'Ngày update dữ liệu gần nhất';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12"/>
  <sheetViews>
    <sheetView workbookViewId="0"/>
  </sheetViews>
  <sheetFormatPr defaultColWidth="14.42578125" defaultRowHeight="15" customHeight="1"/>
  <cols>
    <col min="1" max="1" width="12" style="259" customWidth="1"/>
    <col min="2" max="2" width="21.5703125" style="259" customWidth="1"/>
    <col min="3" max="3" width="8.7109375" style="259" customWidth="1"/>
    <col min="4" max="4" width="25.140625" style="259" customWidth="1"/>
    <col min="5" max="5" width="7.5703125" style="259" customWidth="1"/>
    <col min="6" max="6" width="20.5703125" style="259" customWidth="1"/>
    <col min="7" max="7" width="6.42578125" style="259" customWidth="1"/>
    <col min="8" max="8" width="20" style="259" customWidth="1"/>
    <col min="11" max="11" width="34" style="259" customWidth="1"/>
  </cols>
  <sheetData>
    <row r="1" spans="1:13">
      <c r="A1" s="34" t="s">
        <v>1731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81" t="s">
        <v>1208</v>
      </c>
      <c r="B3" s="237" t="s">
        <v>2049</v>
      </c>
      <c r="C3" s="281" t="s">
        <v>1864</v>
      </c>
      <c r="D3" s="42"/>
      <c r="E3" s="28"/>
      <c r="F3" s="28"/>
      <c r="G3" s="28"/>
      <c r="H3" s="28"/>
      <c r="I3" s="28"/>
      <c r="J3" s="28"/>
      <c r="K3" s="28"/>
    </row>
    <row r="4" spans="1:13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13">
      <c r="A5" s="34" t="s">
        <v>1058</v>
      </c>
      <c r="B5" s="34" t="s">
        <v>1059</v>
      </c>
      <c r="C5" s="34" t="s">
        <v>1065</v>
      </c>
      <c r="D5" s="34" t="s">
        <v>1066</v>
      </c>
      <c r="E5" s="34" t="s">
        <v>1067</v>
      </c>
      <c r="F5" s="34" t="s">
        <v>1068</v>
      </c>
      <c r="G5" s="34" t="s">
        <v>1069</v>
      </c>
      <c r="H5" s="34" t="s">
        <v>1070</v>
      </c>
      <c r="I5" s="34" t="s">
        <v>1071</v>
      </c>
      <c r="J5" s="34" t="s">
        <v>1072</v>
      </c>
      <c r="K5" s="34" t="s">
        <v>1073</v>
      </c>
    </row>
    <row r="6" spans="1:13">
      <c r="A6" s="281" t="s">
        <v>1208</v>
      </c>
      <c r="B6" s="281" t="s">
        <v>2049</v>
      </c>
      <c r="C6" s="258" t="s">
        <v>490</v>
      </c>
      <c r="D6" s="258" t="s">
        <v>2050</v>
      </c>
      <c r="E6" s="258" t="s">
        <v>122</v>
      </c>
      <c r="F6" s="258" t="s">
        <v>1867</v>
      </c>
      <c r="G6" s="146" t="s">
        <v>123</v>
      </c>
      <c r="H6" s="146" t="s">
        <v>1865</v>
      </c>
      <c r="I6" s="16" t="s">
        <v>1079</v>
      </c>
      <c r="J6" s="16">
        <v>32</v>
      </c>
      <c r="K6" s="16" t="s">
        <v>1868</v>
      </c>
      <c r="M6" s="13" t="str">
        <f>"COMMENT ON COLUMN PG_SILVER."&amp;G6&amp;"."&amp;H6&amp;" IS '"&amp;K6&amp;"';"</f>
        <v>COMMENT ON COLUMN PG_SILVER.LMT.LMT_ID IS 'ID của hạn mức';</v>
      </c>
    </row>
    <row r="7" spans="1:13">
      <c r="A7" s="281" t="s">
        <v>1208</v>
      </c>
      <c r="B7" s="281" t="s">
        <v>2049</v>
      </c>
      <c r="C7" s="258" t="s">
        <v>490</v>
      </c>
      <c r="D7" s="258" t="s">
        <v>1128</v>
      </c>
      <c r="E7" s="258" t="s">
        <v>122</v>
      </c>
      <c r="F7" s="258" t="s">
        <v>1869</v>
      </c>
      <c r="G7" s="146" t="s">
        <v>123</v>
      </c>
      <c r="H7" s="146" t="s">
        <v>1540</v>
      </c>
      <c r="I7" s="16" t="s">
        <v>1327</v>
      </c>
      <c r="J7" s="16">
        <v>32</v>
      </c>
      <c r="K7" s="258" t="s">
        <v>1870</v>
      </c>
      <c r="M7" s="13" t="str">
        <f>"COMMENT ON COLUMN PG_SILVER."&amp;G7&amp;"."&amp;H7&amp;" IS '"&amp;K7&amp;"';"</f>
        <v>COMMENT ON COLUMN PG_SILVER.LMT.LMT_CODE IS 'Mã hạn mức';</v>
      </c>
    </row>
    <row r="8" spans="1:13">
      <c r="A8" s="281" t="s">
        <v>1208</v>
      </c>
      <c r="B8" s="281" t="s">
        <v>2049</v>
      </c>
      <c r="C8" s="285"/>
      <c r="D8" s="258" t="s">
        <v>1535</v>
      </c>
      <c r="E8" s="258" t="s">
        <v>122</v>
      </c>
      <c r="F8" s="285" t="s">
        <v>1872</v>
      </c>
      <c r="G8" s="146" t="s">
        <v>123</v>
      </c>
      <c r="H8" s="146" t="s">
        <v>1871</v>
      </c>
      <c r="I8" s="16" t="s">
        <v>1327</v>
      </c>
      <c r="J8" s="16">
        <v>300</v>
      </c>
      <c r="K8" s="285" t="s">
        <v>1873</v>
      </c>
      <c r="M8" s="13" t="str">
        <f>"COMMENT ON COLUMN PG_SILVER."&amp;G8&amp;"."&amp;H8&amp;" IS '"&amp;K8&amp;"';"</f>
        <v>COMMENT ON COLUMN PG_SILVER.LMT.LMT_DSC IS 'Mô tả hạn mức';</v>
      </c>
    </row>
    <row r="9" spans="1:13">
      <c r="A9" s="281"/>
      <c r="B9" s="281"/>
      <c r="C9" s="285"/>
      <c r="D9" s="228" t="s">
        <v>2051</v>
      </c>
      <c r="E9" s="258" t="s">
        <v>122</v>
      </c>
      <c r="F9" s="13" t="s">
        <v>1093</v>
      </c>
      <c r="G9" s="146" t="s">
        <v>123</v>
      </c>
      <c r="H9" s="16" t="s">
        <v>316</v>
      </c>
      <c r="I9" s="16" t="s">
        <v>1327</v>
      </c>
      <c r="J9" s="16">
        <v>20</v>
      </c>
      <c r="K9" s="285" t="s">
        <v>2046</v>
      </c>
      <c r="M9" s="13" t="str">
        <f>"COMMENT ON COLUMN PG_SILVER."&amp;G9&amp;"."&amp;H9&amp;" IS '"&amp;K9&amp;"';"</f>
        <v>COMMENT ON COLUMN PG_SILVER.LMT.SRC_STM_CODE IS 'Mã nguồn dữ liệu';</v>
      </c>
    </row>
    <row r="10" spans="1:13">
      <c r="A10" s="258"/>
      <c r="B10" s="258"/>
      <c r="C10" s="258"/>
      <c r="D10" s="258"/>
      <c r="E10" s="258" t="s">
        <v>122</v>
      </c>
      <c r="F10" s="285" t="s">
        <v>1290</v>
      </c>
      <c r="G10" s="146" t="s">
        <v>123</v>
      </c>
      <c r="H10" s="16" t="s">
        <v>1291</v>
      </c>
      <c r="I10" s="16" t="s">
        <v>519</v>
      </c>
    </row>
    <row r="11" spans="1:13">
      <c r="A11" s="258"/>
      <c r="B11" s="258"/>
      <c r="C11" s="258"/>
      <c r="D11" s="258"/>
      <c r="E11" s="258" t="s">
        <v>122</v>
      </c>
      <c r="F11" s="285" t="s">
        <v>1294</v>
      </c>
      <c r="G11" s="146" t="s">
        <v>123</v>
      </c>
      <c r="H11" s="16" t="s">
        <v>1295</v>
      </c>
      <c r="I11" s="16" t="s">
        <v>519</v>
      </c>
    </row>
    <row r="12" spans="1:13">
      <c r="H12" s="16" t="s">
        <v>1299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C124"/>
  <sheetViews>
    <sheetView topLeftCell="A27" workbookViewId="0"/>
  </sheetViews>
  <sheetFormatPr defaultColWidth="14.42578125" defaultRowHeight="15" customHeight="1"/>
  <cols>
    <col min="1" max="1" width="16.5703125" style="259" customWidth="1"/>
    <col min="2" max="2" width="41.5703125" style="259" customWidth="1"/>
    <col min="3" max="3" width="39.42578125" style="259" customWidth="1"/>
    <col min="4" max="4" width="67.140625" style="259" customWidth="1"/>
    <col min="5" max="5" width="18.85546875" style="259" customWidth="1"/>
    <col min="6" max="6" width="30.42578125" style="259" customWidth="1"/>
    <col min="7" max="7" width="9.7109375" style="259" customWidth="1"/>
    <col min="8" max="8" width="26.140625" style="259" customWidth="1"/>
    <col min="9" max="9" width="12.140625" style="259" customWidth="1"/>
    <col min="10" max="10" width="6.7109375" style="259" customWidth="1"/>
    <col min="11" max="11" width="34" style="259" customWidth="1"/>
  </cols>
  <sheetData>
    <row r="1" spans="1:13">
      <c r="A1" s="34" t="s">
        <v>1731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81" t="s">
        <v>512</v>
      </c>
      <c r="B3" s="281" t="s">
        <v>593</v>
      </c>
      <c r="C3" s="281" t="s">
        <v>1216</v>
      </c>
      <c r="D3" s="42"/>
      <c r="E3" s="28"/>
      <c r="F3" s="28"/>
      <c r="G3" s="28"/>
      <c r="H3" s="28"/>
      <c r="I3" s="28"/>
      <c r="J3" s="28"/>
      <c r="K3" s="28"/>
    </row>
    <row r="4" spans="1:13">
      <c r="A4" s="281" t="s">
        <v>414</v>
      </c>
      <c r="B4" s="281" t="s">
        <v>419</v>
      </c>
      <c r="C4" s="42" t="s">
        <v>1934</v>
      </c>
      <c r="D4" s="42" t="s">
        <v>2052</v>
      </c>
      <c r="E4" s="28"/>
      <c r="F4" s="28"/>
      <c r="G4" s="28"/>
      <c r="H4" s="28"/>
      <c r="I4" s="28"/>
      <c r="J4" s="28"/>
      <c r="K4" s="28"/>
    </row>
    <row r="5" spans="1:13">
      <c r="A5" s="311" t="s">
        <v>414</v>
      </c>
      <c r="B5" s="311" t="s">
        <v>422</v>
      </c>
      <c r="C5" s="281" t="s">
        <v>2053</v>
      </c>
      <c r="D5" s="42" t="s">
        <v>2054</v>
      </c>
      <c r="E5" s="28"/>
      <c r="F5" s="28"/>
      <c r="G5" s="28"/>
      <c r="H5" s="28"/>
      <c r="I5" s="28"/>
      <c r="J5" s="28"/>
      <c r="K5" s="28"/>
    </row>
    <row r="6" spans="1:13">
      <c r="A6" s="16" t="s">
        <v>437</v>
      </c>
      <c r="B6" s="16" t="s">
        <v>441</v>
      </c>
      <c r="C6" s="281" t="s">
        <v>2055</v>
      </c>
      <c r="D6" s="42" t="s">
        <v>2056</v>
      </c>
      <c r="E6" s="28"/>
      <c r="F6" s="28"/>
      <c r="G6" s="28"/>
      <c r="H6" s="28"/>
      <c r="I6" s="28"/>
      <c r="J6" s="28"/>
      <c r="K6" s="28"/>
    </row>
    <row r="7" spans="1:13">
      <c r="A7" s="311" t="s">
        <v>437</v>
      </c>
      <c r="B7" s="311" t="s">
        <v>438</v>
      </c>
      <c r="C7" s="281" t="s">
        <v>2057</v>
      </c>
      <c r="D7" s="238" t="s">
        <v>2058</v>
      </c>
      <c r="E7" s="28"/>
      <c r="F7" s="28"/>
      <c r="G7" s="28"/>
      <c r="H7" s="28"/>
      <c r="I7" s="28"/>
      <c r="J7" s="28"/>
      <c r="K7" s="28"/>
    </row>
    <row r="8" spans="1:13">
      <c r="A8" s="16" t="s">
        <v>437</v>
      </c>
      <c r="B8" s="16" t="s">
        <v>445</v>
      </c>
      <c r="C8" s="281" t="s">
        <v>2059</v>
      </c>
      <c r="D8" s="307" t="s">
        <v>2060</v>
      </c>
      <c r="E8" s="28"/>
      <c r="F8" s="28"/>
      <c r="G8" s="28"/>
      <c r="H8" s="28"/>
      <c r="I8" s="28"/>
      <c r="J8" s="28"/>
      <c r="K8" s="28"/>
    </row>
    <row r="9" spans="1:13">
      <c r="A9" s="16" t="s">
        <v>512</v>
      </c>
      <c r="B9" s="16" t="s">
        <v>513</v>
      </c>
      <c r="C9" s="28" t="s">
        <v>1510</v>
      </c>
      <c r="D9" s="281" t="s">
        <v>2061</v>
      </c>
      <c r="E9" s="28"/>
      <c r="F9" s="28"/>
      <c r="G9" s="28"/>
      <c r="H9" s="28"/>
      <c r="I9" s="28"/>
      <c r="J9" s="28"/>
      <c r="K9" s="28"/>
    </row>
    <row r="10" spans="1:13">
      <c r="A10" s="230"/>
      <c r="B10" s="230"/>
      <c r="C10" s="230"/>
      <c r="D10" s="230"/>
      <c r="E10" s="230"/>
      <c r="F10" s="230"/>
      <c r="G10" s="230"/>
      <c r="H10" s="230"/>
      <c r="I10" s="230"/>
      <c r="J10" s="230"/>
      <c r="K10" s="230"/>
    </row>
    <row r="11" spans="1:13">
      <c r="A11" s="34" t="s">
        <v>1058</v>
      </c>
      <c r="B11" s="34" t="s">
        <v>1059</v>
      </c>
      <c r="C11" s="34" t="s">
        <v>1065</v>
      </c>
      <c r="D11" s="34" t="s">
        <v>1066</v>
      </c>
      <c r="E11" s="34" t="s">
        <v>1067</v>
      </c>
      <c r="F11" s="34" t="s">
        <v>1068</v>
      </c>
      <c r="G11" s="34" t="s">
        <v>1069</v>
      </c>
      <c r="H11" s="34" t="s">
        <v>1070</v>
      </c>
      <c r="I11" s="34" t="s">
        <v>1071</v>
      </c>
      <c r="J11" s="34" t="s">
        <v>1072</v>
      </c>
      <c r="K11" s="34" t="s">
        <v>1073</v>
      </c>
    </row>
    <row r="12" spans="1:13">
      <c r="A12" s="13"/>
      <c r="B12" s="18"/>
      <c r="C12" s="13"/>
      <c r="D12" s="239" t="s">
        <v>2062</v>
      </c>
      <c r="E12" s="13"/>
      <c r="F12" s="311" t="s">
        <v>1093</v>
      </c>
      <c r="G12" s="146" t="s">
        <v>70</v>
      </c>
      <c r="H12" s="311" t="s">
        <v>316</v>
      </c>
      <c r="I12" s="16" t="s">
        <v>1327</v>
      </c>
      <c r="J12" s="16">
        <v>40</v>
      </c>
      <c r="K12" s="18"/>
    </row>
    <row r="13" spans="1:13">
      <c r="A13" s="258" t="s">
        <v>512</v>
      </c>
      <c r="B13" s="16" t="s">
        <v>593</v>
      </c>
      <c r="C13" s="258" t="s">
        <v>490</v>
      </c>
      <c r="D13" s="258" t="s">
        <v>2063</v>
      </c>
      <c r="E13" s="258" t="s">
        <v>69</v>
      </c>
      <c r="F13" s="258" t="s">
        <v>1077</v>
      </c>
      <c r="G13" s="146" t="s">
        <v>70</v>
      </c>
      <c r="H13" s="146" t="s">
        <v>1078</v>
      </c>
      <c r="I13" s="16" t="s">
        <v>1079</v>
      </c>
      <c r="J13" s="16">
        <v>32</v>
      </c>
      <c r="K13" s="16" t="s">
        <v>1733</v>
      </c>
      <c r="M13" s="13" t="str">
        <f>"COMMENT ON COLUMN PG_SILVER."&amp;G13&amp;"."&amp;H13&amp;" IS '"&amp;K13&amp;"';"</f>
        <v>COMMENT ON COLUMN PG_SILVER.LOAN_AR.AR_ID IS 'Unique key trên DWH';</v>
      </c>
    </row>
    <row r="14" spans="1:13">
      <c r="A14" s="258" t="s">
        <v>512</v>
      </c>
      <c r="B14" s="16" t="s">
        <v>593</v>
      </c>
      <c r="C14" s="258" t="s">
        <v>490</v>
      </c>
      <c r="D14" s="258" t="s">
        <v>1128</v>
      </c>
      <c r="E14" s="258" t="s">
        <v>69</v>
      </c>
      <c r="F14" s="258" t="s">
        <v>928</v>
      </c>
      <c r="G14" s="146" t="s">
        <v>70</v>
      </c>
      <c r="H14" s="146" t="s">
        <v>1082</v>
      </c>
      <c r="I14" s="16" t="s">
        <v>1327</v>
      </c>
      <c r="J14" s="16">
        <v>40</v>
      </c>
      <c r="K14" s="258" t="s">
        <v>249</v>
      </c>
      <c r="M14" s="13" t="str">
        <f>"COMMENT ON COLUMN PG_SILVER."&amp;G14&amp;"."&amp;H14&amp;" IS '"&amp;K14&amp;"';"</f>
        <v>COMMENT ON COLUMN PG_SILVER.LOAN_AR.AR_CODE IS 'Mã hợp đồng';</v>
      </c>
    </row>
    <row r="15" spans="1:13">
      <c r="A15" s="258" t="s">
        <v>512</v>
      </c>
      <c r="B15" s="16" t="s">
        <v>593</v>
      </c>
      <c r="C15" s="258" t="s">
        <v>507</v>
      </c>
      <c r="D15" s="258" t="s">
        <v>1128</v>
      </c>
      <c r="E15" s="258" t="s">
        <v>69</v>
      </c>
      <c r="F15" s="258" t="s">
        <v>877</v>
      </c>
      <c r="G15" s="146" t="s">
        <v>70</v>
      </c>
      <c r="H15" s="146" t="s">
        <v>1548</v>
      </c>
      <c r="I15" s="16" t="s">
        <v>1327</v>
      </c>
      <c r="J15" s="16">
        <v>40</v>
      </c>
      <c r="K15" s="258" t="s">
        <v>735</v>
      </c>
      <c r="M15" s="13" t="str">
        <f>"COMMENT ON COLUMN PG_SILVER."&amp;G15&amp;"."&amp;H15&amp;" IS '"&amp;K15&amp;"';"</f>
        <v>COMMENT ON COLUMN PG_SILVER.LOAN_AR.FCC_AR_CODE IS 'Mã hợp đồng FlexCube';</v>
      </c>
    </row>
    <row r="16" spans="1:13">
      <c r="A16" s="258" t="s">
        <v>512</v>
      </c>
      <c r="B16" s="16" t="s">
        <v>593</v>
      </c>
      <c r="C16" s="258" t="s">
        <v>595</v>
      </c>
      <c r="D16" s="258" t="s">
        <v>1128</v>
      </c>
      <c r="E16" s="258" t="s">
        <v>69</v>
      </c>
      <c r="F16" s="258" t="s">
        <v>880</v>
      </c>
      <c r="G16" s="146" t="s">
        <v>70</v>
      </c>
      <c r="H16" s="146" t="s">
        <v>1712</v>
      </c>
      <c r="I16" s="16" t="s">
        <v>1106</v>
      </c>
      <c r="J16" s="16">
        <v>25.5</v>
      </c>
      <c r="K16" s="24" t="s">
        <v>879</v>
      </c>
      <c r="M16" s="13" t="str">
        <f>"COMMENT ON COLUMN PG_SILVER."&amp;G16&amp;"."&amp;H16&amp;" IS '"&amp;K16&amp;"';"</f>
        <v>COMMENT ON COLUMN PG_SILVER.LOAN_AR.ORIG_AMT_FCY IS 'Giá trị phê duyệt';</v>
      </c>
    </row>
    <row r="17" spans="1:29" hidden="1">
      <c r="A17" s="46" t="s">
        <v>512</v>
      </c>
      <c r="B17" s="47" t="s">
        <v>593</v>
      </c>
      <c r="C17" s="46" t="s">
        <v>596</v>
      </c>
      <c r="D17" s="46" t="s">
        <v>1128</v>
      </c>
      <c r="E17" s="46" t="s">
        <v>69</v>
      </c>
      <c r="F17" s="46" t="s">
        <v>854</v>
      </c>
      <c r="G17" s="233" t="s">
        <v>70</v>
      </c>
      <c r="H17" s="233" t="s">
        <v>1352</v>
      </c>
      <c r="I17" s="47" t="s">
        <v>1327</v>
      </c>
      <c r="J17" s="47">
        <v>20</v>
      </c>
      <c r="K17" s="46" t="s">
        <v>881</v>
      </c>
      <c r="L17" s="43"/>
      <c r="M17" s="13" t="str">
        <f>"COMMENT ON COLUMN PG_SILVER."&amp;G17&amp;"."&amp;H17&amp;" IS '"&amp;K17&amp;"';"</f>
        <v>COMMENT ON COLUMN PG_SILVER.LOAN_AR.CHKER_OFCR_CODE IS 'Mã người phê duyệt';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 spans="1:29">
      <c r="A18" s="258" t="s">
        <v>512</v>
      </c>
      <c r="B18" s="16" t="s">
        <v>593</v>
      </c>
      <c r="C18" s="258" t="s">
        <v>597</v>
      </c>
      <c r="D18" s="258" t="s">
        <v>1128</v>
      </c>
      <c r="E18" s="258" t="s">
        <v>69</v>
      </c>
      <c r="F18" s="13" t="s">
        <v>748</v>
      </c>
      <c r="G18" s="146" t="s">
        <v>70</v>
      </c>
      <c r="H18" s="146" t="s">
        <v>1517</v>
      </c>
      <c r="I18" s="16" t="s">
        <v>1327</v>
      </c>
      <c r="J18" s="16">
        <v>20</v>
      </c>
      <c r="K18" s="258" t="s">
        <v>747</v>
      </c>
      <c r="M18" s="13" t="str">
        <f>"COMMENT ON COLUMN PG_SILVER."&amp;G18&amp;"."&amp;H18&amp;" IS '"&amp;K18&amp;"';"</f>
        <v>COMMENT ON COLUMN PG_SILVER.LOAN_AR.PD_CGY_CODE IS 'Mã phân loại sản phẩm';</v>
      </c>
    </row>
    <row r="19" spans="1:29">
      <c r="A19" s="258" t="s">
        <v>512</v>
      </c>
      <c r="B19" s="16" t="s">
        <v>593</v>
      </c>
      <c r="C19" s="258" t="s">
        <v>460</v>
      </c>
      <c r="D19" s="258" t="s">
        <v>2064</v>
      </c>
      <c r="E19" s="258" t="s">
        <v>69</v>
      </c>
      <c r="F19" s="258" t="s">
        <v>843</v>
      </c>
      <c r="G19" s="146" t="s">
        <v>70</v>
      </c>
      <c r="H19" s="162" t="s">
        <v>1332</v>
      </c>
      <c r="I19" s="16" t="s">
        <v>1327</v>
      </c>
      <c r="J19" s="16">
        <v>20</v>
      </c>
      <c r="K19" s="258" t="s">
        <v>2065</v>
      </c>
      <c r="M19" s="13" t="str">
        <f>"COMMENT ON COLUMN PG_SILVER."&amp;G19&amp;"."&amp;H19&amp;" IS '"&amp;K19&amp;"';"</f>
        <v>COMMENT ON COLUMN PG_SILVER.LOAN_AR.FRST_OU_CODE IS 'Mã chi nhánh quản lý đầu tiên';</v>
      </c>
    </row>
    <row r="20" spans="1:29">
      <c r="A20" s="258" t="s">
        <v>512</v>
      </c>
      <c r="B20" s="16" t="s">
        <v>593</v>
      </c>
      <c r="C20" s="258" t="s">
        <v>598</v>
      </c>
      <c r="D20" s="258" t="s">
        <v>1128</v>
      </c>
      <c r="E20" s="258" t="s">
        <v>69</v>
      </c>
      <c r="F20" s="258" t="s">
        <v>887</v>
      </c>
      <c r="G20" s="146" t="s">
        <v>70</v>
      </c>
      <c r="H20" s="146" t="s">
        <v>1518</v>
      </c>
      <c r="I20" s="16" t="s">
        <v>1327</v>
      </c>
      <c r="J20" s="16">
        <v>40</v>
      </c>
      <c r="K20" s="258" t="s">
        <v>935</v>
      </c>
      <c r="M20" s="13" t="str">
        <f>"COMMENT ON COLUMN PG_SILVER."&amp;G20&amp;"."&amp;H20&amp;" IS '"&amp;K20&amp;"';"</f>
        <v>COMMENT ON COLUMN PG_SILVER.LOAN_AR.PPR_CTR_NBR IS 'Mã hồ sơ';</v>
      </c>
    </row>
    <row r="21" spans="1:29">
      <c r="A21" s="258" t="s">
        <v>512</v>
      </c>
      <c r="B21" s="16" t="s">
        <v>593</v>
      </c>
      <c r="C21" s="258" t="s">
        <v>469</v>
      </c>
      <c r="D21" s="258" t="s">
        <v>1128</v>
      </c>
      <c r="E21" s="258" t="s">
        <v>69</v>
      </c>
      <c r="F21" s="258" t="s">
        <v>752</v>
      </c>
      <c r="G21" s="146" t="s">
        <v>70</v>
      </c>
      <c r="H21" s="146" t="s">
        <v>281</v>
      </c>
      <c r="I21" s="16" t="s">
        <v>1327</v>
      </c>
      <c r="J21" s="16">
        <v>20</v>
      </c>
      <c r="K21" s="258" t="s">
        <v>282</v>
      </c>
      <c r="M21" s="13" t="str">
        <f>"COMMENT ON COLUMN PG_SILVER."&amp;G21&amp;"."&amp;H21&amp;" IS '"&amp;K21&amp;"';"</f>
        <v>COMMENT ON COLUMN PG_SILVER.LOAN_AR.CCY_CODE IS 'Loại tiền';</v>
      </c>
    </row>
    <row r="22" spans="1:29">
      <c r="A22" s="258" t="s">
        <v>512</v>
      </c>
      <c r="B22" s="16" t="s">
        <v>593</v>
      </c>
      <c r="C22" s="258" t="s">
        <v>470</v>
      </c>
      <c r="D22" s="258" t="s">
        <v>1128</v>
      </c>
      <c r="E22" s="258" t="s">
        <v>69</v>
      </c>
      <c r="F22" s="258" t="s">
        <v>847</v>
      </c>
      <c r="G22" s="146" t="s">
        <v>70</v>
      </c>
      <c r="H22" s="146" t="s">
        <v>253</v>
      </c>
      <c r="I22" s="16" t="s">
        <v>1327</v>
      </c>
      <c r="J22" s="16">
        <v>20</v>
      </c>
      <c r="K22" s="258" t="s">
        <v>254</v>
      </c>
      <c r="M22" s="13" t="str">
        <f>"COMMENT ON COLUMN PG_SILVER."&amp;G22&amp;"."&amp;H22&amp;" IS '"&amp;K22&amp;"';"</f>
        <v>COMMENT ON COLUMN PG_SILVER.LOAN_AR.CST_CODE IS 'Mã khách hàng';</v>
      </c>
    </row>
    <row r="23" spans="1:29">
      <c r="A23" s="258" t="s">
        <v>512</v>
      </c>
      <c r="B23" s="16" t="s">
        <v>593</v>
      </c>
      <c r="C23" s="258" t="s">
        <v>470</v>
      </c>
      <c r="D23" s="258" t="s">
        <v>2066</v>
      </c>
      <c r="E23" s="258" t="s">
        <v>69</v>
      </c>
      <c r="F23" s="258" t="s">
        <v>1459</v>
      </c>
      <c r="G23" s="146" t="s">
        <v>70</v>
      </c>
      <c r="H23" s="162" t="s">
        <v>1285</v>
      </c>
      <c r="I23" s="16"/>
      <c r="J23" s="16"/>
      <c r="K23" s="258" t="s">
        <v>254</v>
      </c>
      <c r="M23" s="13" t="str">
        <f>"COMMENT ON COLUMN PG_SILVER."&amp;G23&amp;"."&amp;H23&amp;" IS '"&amp;K23&amp;"';"</f>
        <v>COMMENT ON COLUMN PG_SILVER.LOAN_AR.CST_ID IS 'Mã khách hàng';</v>
      </c>
    </row>
    <row r="24" spans="1:29">
      <c r="A24" s="258" t="s">
        <v>512</v>
      </c>
      <c r="B24" s="16" t="s">
        <v>593</v>
      </c>
      <c r="C24" s="258" t="s">
        <v>600</v>
      </c>
      <c r="D24" s="258" t="s">
        <v>1128</v>
      </c>
      <c r="E24" s="258" t="s">
        <v>69</v>
      </c>
      <c r="F24" s="258" t="s">
        <v>892</v>
      </c>
      <c r="G24" s="146" t="s">
        <v>70</v>
      </c>
      <c r="H24" s="146" t="s">
        <v>2067</v>
      </c>
      <c r="I24" s="16" t="s">
        <v>1106</v>
      </c>
      <c r="J24" s="16">
        <v>25.5</v>
      </c>
      <c r="K24" s="258" t="s">
        <v>891</v>
      </c>
      <c r="M24" s="13" t="str">
        <f>"COMMENT ON COLUMN PG_SILVER."&amp;G24&amp;"."&amp;H24&amp;" IS '"&amp;K24&amp;"';"</f>
        <v>COMMENT ON COLUMN PG_SILVER.LOAN_AR.DSBR_AMT_FCY IS 'Số tiền thực tế giải ngân';</v>
      </c>
    </row>
    <row r="25" spans="1:29">
      <c r="A25" s="258" t="s">
        <v>512</v>
      </c>
      <c r="B25" s="16" t="s">
        <v>593</v>
      </c>
      <c r="C25" s="258" t="s">
        <v>601</v>
      </c>
      <c r="D25" s="258" t="s">
        <v>1128</v>
      </c>
      <c r="E25" s="258" t="s">
        <v>69</v>
      </c>
      <c r="F25" s="258" t="s">
        <v>894</v>
      </c>
      <c r="G25" s="146" t="s">
        <v>70</v>
      </c>
      <c r="H25" s="146" t="s">
        <v>1714</v>
      </c>
      <c r="I25" s="16" t="s">
        <v>1106</v>
      </c>
      <c r="J25" s="16">
        <v>25.5</v>
      </c>
      <c r="K25" s="258" t="s">
        <v>893</v>
      </c>
      <c r="M25" s="13" t="str">
        <f>"COMMENT ON COLUMN PG_SILVER."&amp;G25&amp;"."&amp;H25&amp;" IS '"&amp;K25&amp;"';"</f>
        <v>COMMENT ON COLUMN PG_SILVER.LOAN_AR.EXG_RATE_TO_LCL_CCY IS 'Tỷ giá quy đổi';</v>
      </c>
    </row>
    <row r="26" spans="1:29">
      <c r="A26" s="258" t="s">
        <v>512</v>
      </c>
      <c r="B26" s="16" t="s">
        <v>593</v>
      </c>
      <c r="C26" s="258" t="s">
        <v>602</v>
      </c>
      <c r="D26" s="258" t="s">
        <v>1128</v>
      </c>
      <c r="E26" s="258" t="s">
        <v>69</v>
      </c>
      <c r="F26" s="13" t="s">
        <v>896</v>
      </c>
      <c r="G26" s="146" t="s">
        <v>70</v>
      </c>
      <c r="H26" s="162" t="s">
        <v>1638</v>
      </c>
      <c r="I26" s="16" t="s">
        <v>1327</v>
      </c>
      <c r="J26" s="16">
        <v>20</v>
      </c>
      <c r="K26" s="13" t="s">
        <v>895</v>
      </c>
      <c r="M26" s="13" t="str">
        <f>"COMMENT ON COLUMN PG_SILVER."&amp;G26&amp;"."&amp;H26&amp;" IS '"&amp;K26&amp;"';"</f>
        <v>COMMENT ON COLUMN PG_SILVER.LOAN_AR.FCC_LMT_CODE IS 'Mã hạn mức trên Flexcube';</v>
      </c>
    </row>
    <row r="27" spans="1:29">
      <c r="A27" s="258" t="s">
        <v>512</v>
      </c>
      <c r="B27" s="16" t="s">
        <v>593</v>
      </c>
      <c r="C27" s="258" t="s">
        <v>603</v>
      </c>
      <c r="D27" s="258" t="s">
        <v>1128</v>
      </c>
      <c r="E27" s="258" t="s">
        <v>69</v>
      </c>
      <c r="F27" s="258" t="s">
        <v>897</v>
      </c>
      <c r="G27" s="146" t="s">
        <v>70</v>
      </c>
      <c r="H27" s="146" t="s">
        <v>1482</v>
      </c>
      <c r="I27" s="16" t="s">
        <v>519</v>
      </c>
      <c r="J27" s="16"/>
      <c r="K27" s="258" t="s">
        <v>757</v>
      </c>
      <c r="M27" s="13" t="str">
        <f>"COMMENT ON COLUMN PG_SILVER."&amp;G27&amp;"."&amp;H27&amp;" IS '"&amp;K27&amp;"';"</f>
        <v>COMMENT ON COLUMN PG_SILVER.LOAN_AR.MAT_DT IS 'Ngày đáo hạn hợp đồng';</v>
      </c>
    </row>
    <row r="28" spans="1:29" hidden="1">
      <c r="A28" s="46" t="s">
        <v>512</v>
      </c>
      <c r="B28" s="47" t="s">
        <v>593</v>
      </c>
      <c r="C28" s="46" t="s">
        <v>604</v>
      </c>
      <c r="D28" s="46" t="s">
        <v>1128</v>
      </c>
      <c r="E28" s="46" t="s">
        <v>69</v>
      </c>
      <c r="F28" s="46" t="s">
        <v>772</v>
      </c>
      <c r="G28" s="233" t="s">
        <v>70</v>
      </c>
      <c r="H28" s="233" t="s">
        <v>1376</v>
      </c>
      <c r="I28" s="47" t="s">
        <v>1327</v>
      </c>
      <c r="J28" s="47">
        <v>20</v>
      </c>
      <c r="K28" s="46" t="s">
        <v>899</v>
      </c>
      <c r="L28" s="43"/>
      <c r="M28" s="13" t="str">
        <f>"COMMENT ON COLUMN PG_SILVER."&amp;G28&amp;"."&amp;H28&amp;" IS '"&amp;K28&amp;"';"</f>
        <v>COMMENT ON COLUMN PG_SILVER.LOAN_AR.MAKER_OFCR_CODE IS 'ID người nhập liệu';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 spans="1:29">
      <c r="A29" s="258" t="s">
        <v>512</v>
      </c>
      <c r="B29" s="16" t="s">
        <v>593</v>
      </c>
      <c r="C29" s="258" t="s">
        <v>610</v>
      </c>
      <c r="D29" s="258" t="s">
        <v>1128</v>
      </c>
      <c r="E29" s="258" t="s">
        <v>69</v>
      </c>
      <c r="F29" s="258" t="s">
        <v>1869</v>
      </c>
      <c r="G29" s="146" t="s">
        <v>70</v>
      </c>
      <c r="H29" s="146" t="s">
        <v>1540</v>
      </c>
      <c r="I29" s="16" t="s">
        <v>1327</v>
      </c>
      <c r="J29" s="16">
        <v>20</v>
      </c>
      <c r="K29" s="258" t="s">
        <v>910</v>
      </c>
      <c r="M29" s="13" t="str">
        <f>"COMMENT ON COLUMN PG_SILVER."&amp;G29&amp;"."&amp;H29&amp;" IS '"&amp;K29&amp;"';"</f>
        <v>COMMENT ON COLUMN PG_SILVER.LOAN_AR.LMT_CODE IS 'Mã tham chiếu hạn mức';</v>
      </c>
    </row>
    <row r="30" spans="1:29">
      <c r="A30" s="258" t="s">
        <v>512</v>
      </c>
      <c r="B30" s="16" t="s">
        <v>593</v>
      </c>
      <c r="C30" s="258" t="s">
        <v>610</v>
      </c>
      <c r="D30" s="258" t="s">
        <v>2068</v>
      </c>
      <c r="E30" s="258" t="s">
        <v>69</v>
      </c>
      <c r="F30" s="258" t="s">
        <v>2069</v>
      </c>
      <c r="G30" s="146" t="s">
        <v>70</v>
      </c>
      <c r="H30" s="162" t="s">
        <v>1865</v>
      </c>
      <c r="I30" s="16"/>
      <c r="J30" s="16"/>
      <c r="K30" s="258" t="s">
        <v>910</v>
      </c>
      <c r="M30" s="13" t="str">
        <f>"COMMENT ON COLUMN PG_SILVER."&amp;G30&amp;"."&amp;H30&amp;" IS '"&amp;K30&amp;"';"</f>
        <v>COMMENT ON COLUMN PG_SILVER.LOAN_AR.LMT_ID IS 'Mã tham chiếu hạn mức';</v>
      </c>
    </row>
    <row r="31" spans="1:29">
      <c r="A31" s="258" t="s">
        <v>512</v>
      </c>
      <c r="B31" s="16" t="s">
        <v>593</v>
      </c>
      <c r="C31" s="258" t="s">
        <v>520</v>
      </c>
      <c r="D31" s="258" t="s">
        <v>1128</v>
      </c>
      <c r="E31" s="258" t="s">
        <v>69</v>
      </c>
      <c r="F31" s="258" t="s">
        <v>913</v>
      </c>
      <c r="G31" s="146" t="s">
        <v>70</v>
      </c>
      <c r="H31" s="146" t="s">
        <v>267</v>
      </c>
      <c r="I31" s="16" t="s">
        <v>1327</v>
      </c>
      <c r="J31" s="16">
        <v>20</v>
      </c>
      <c r="K31" s="258" t="s">
        <v>912</v>
      </c>
      <c r="M31" s="13" t="str">
        <f>"COMMENT ON COLUMN PG_SILVER."&amp;G31&amp;"."&amp;H31&amp;" IS '"&amp;K31&amp;"';"</f>
        <v>COMMENT ON COLUMN PG_SILVER.LOAN_AR.TERM_CODE IS 'Kỳ hạn ';</v>
      </c>
    </row>
    <row r="32" spans="1:29">
      <c r="A32" s="258" t="s">
        <v>512</v>
      </c>
      <c r="B32" s="16" t="s">
        <v>593</v>
      </c>
      <c r="C32" s="258" t="s">
        <v>611</v>
      </c>
      <c r="D32" s="258" t="s">
        <v>1128</v>
      </c>
      <c r="E32" s="258" t="s">
        <v>69</v>
      </c>
      <c r="F32" s="13" t="s">
        <v>915</v>
      </c>
      <c r="G32" s="146" t="s">
        <v>70</v>
      </c>
      <c r="H32" s="126" t="s">
        <v>1666</v>
      </c>
      <c r="I32" s="16" t="s">
        <v>1327</v>
      </c>
      <c r="J32" s="16">
        <v>40</v>
      </c>
      <c r="K32" s="258" t="s">
        <v>914</v>
      </c>
      <c r="M32" s="13" t="str">
        <f>"COMMENT ON COLUMN PG_SILVER."&amp;G32&amp;"."&amp;H32&amp;" IS '"&amp;K32&amp;"';"</f>
        <v>COMMENT ON COLUMN PG_SILVER.LOAN_AR.LOS_CTR_NBR IS 'Số hồ sơ';</v>
      </c>
    </row>
    <row r="33" spans="1:29" hidden="1">
      <c r="A33" s="46" t="s">
        <v>512</v>
      </c>
      <c r="B33" s="47" t="s">
        <v>593</v>
      </c>
      <c r="C33" s="46" t="s">
        <v>557</v>
      </c>
      <c r="D33" s="46" t="s">
        <v>1128</v>
      </c>
      <c r="E33" s="46" t="s">
        <v>69</v>
      </c>
      <c r="F33" s="46" t="s">
        <v>917</v>
      </c>
      <c r="G33" s="233" t="s">
        <v>70</v>
      </c>
      <c r="H33" s="233" t="s">
        <v>2070</v>
      </c>
      <c r="I33" s="47" t="s">
        <v>1327</v>
      </c>
      <c r="J33" s="47">
        <v>20</v>
      </c>
      <c r="K33" s="46" t="s">
        <v>916</v>
      </c>
      <c r="L33" s="43"/>
      <c r="M33" s="13" t="str">
        <f>"COMMENT ON COLUMN PG_SILVER."&amp;G33&amp;"."&amp;H33&amp;" IS '"&amp;K33&amp;"';"</f>
        <v>COMMENT ON COLUMN PG_SILVER.LOAN_AR.REFRRER_OFCR_CODE IS 'ID nhân viên giới thiệu';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 spans="1:29">
      <c r="A34" s="258" t="s">
        <v>512</v>
      </c>
      <c r="B34" s="16" t="s">
        <v>593</v>
      </c>
      <c r="C34" s="258" t="s">
        <v>612</v>
      </c>
      <c r="D34" s="258" t="s">
        <v>1128</v>
      </c>
      <c r="E34" s="258" t="s">
        <v>69</v>
      </c>
      <c r="F34" s="258" t="s">
        <v>919</v>
      </c>
      <c r="G34" s="146" t="s">
        <v>70</v>
      </c>
      <c r="H34" s="146" t="s">
        <v>1533</v>
      </c>
      <c r="I34" s="16" t="s">
        <v>519</v>
      </c>
      <c r="J34" s="16"/>
      <c r="K34" s="258" t="s">
        <v>918</v>
      </c>
      <c r="M34" s="13" t="str">
        <f>"COMMENT ON COLUMN PG_SILVER."&amp;G34&amp;"."&amp;H34&amp;" IS '"&amp;K34&amp;"';"</f>
        <v>COMMENT ON COLUMN PG_SILVER.LOAN_AR.VAL_DT IS 'Ngày hiệu lực đầu tiên của hợp đồng';</v>
      </c>
    </row>
    <row r="35" spans="1:29">
      <c r="A35" s="258"/>
      <c r="B35" s="16"/>
      <c r="C35" s="258"/>
      <c r="D35" s="41" t="s">
        <v>2071</v>
      </c>
      <c r="E35" s="258" t="s">
        <v>69</v>
      </c>
      <c r="F35" s="13" t="s">
        <v>691</v>
      </c>
      <c r="G35" s="146" t="s">
        <v>70</v>
      </c>
      <c r="H35" s="146" t="s">
        <v>284</v>
      </c>
      <c r="I35" s="16" t="s">
        <v>1327</v>
      </c>
      <c r="J35" s="16">
        <v>20</v>
      </c>
      <c r="K35" s="258" t="s">
        <v>924</v>
      </c>
      <c r="M35" s="13" t="str">
        <f>"COMMENT ON COLUMN PG_SILVER."&amp;G35&amp;"."&amp;H35&amp;" IS '"&amp;K35&amp;"';"</f>
        <v>COMMENT ON COLUMN PG_SILVER.LOAN_AR.PD_CODE IS 'Mã nhóm sản phẩm';</v>
      </c>
    </row>
    <row r="36" spans="1:29">
      <c r="A36" s="258"/>
      <c r="B36" s="16"/>
      <c r="C36" s="258"/>
      <c r="D36" s="258" t="s">
        <v>2072</v>
      </c>
      <c r="E36" s="258" t="s">
        <v>69</v>
      </c>
      <c r="F36" s="258" t="s">
        <v>683</v>
      </c>
      <c r="G36" s="146" t="s">
        <v>70</v>
      </c>
      <c r="H36" s="146" t="s">
        <v>1594</v>
      </c>
      <c r="I36" s="16" t="s">
        <v>1327</v>
      </c>
      <c r="J36" s="16">
        <v>40</v>
      </c>
      <c r="K36" s="258" t="s">
        <v>387</v>
      </c>
      <c r="M36" s="13" t="str">
        <f>"COMMENT ON COLUMN PG_SILVER."&amp;G36&amp;"."&amp;H36&amp;" IS '"&amp;K36&amp;"';"</f>
        <v>COMMENT ON COLUMN PG_SILVER.LOAN_AR.AR_PPS_TP_CODE IS 'Mã mục đích vay';</v>
      </c>
    </row>
    <row r="37" spans="1:29">
      <c r="A37" s="258" t="s">
        <v>512</v>
      </c>
      <c r="B37" s="16" t="s">
        <v>593</v>
      </c>
      <c r="C37" s="258" t="s">
        <v>619</v>
      </c>
      <c r="D37" s="258" t="s">
        <v>1128</v>
      </c>
      <c r="E37" s="258" t="s">
        <v>69</v>
      </c>
      <c r="F37" s="258" t="s">
        <v>932</v>
      </c>
      <c r="G37" s="146" t="s">
        <v>70</v>
      </c>
      <c r="H37" s="146" t="s">
        <v>1646</v>
      </c>
      <c r="I37" s="16" t="s">
        <v>1327</v>
      </c>
      <c r="J37" s="16">
        <v>40</v>
      </c>
      <c r="K37" s="258" t="s">
        <v>931</v>
      </c>
      <c r="M37" s="13" t="str">
        <f>"COMMENT ON COLUMN PG_SILVER."&amp;G37&amp;"."&amp;H37&amp;" IS '"&amp;K37&amp;"';"</f>
        <v>COMMENT ON COLUMN PG_SILVER.LOAN_AR.AR_PPS_GRP_CODE IS 'Mã nhóm mục đích vay';</v>
      </c>
    </row>
    <row r="38" spans="1:29">
      <c r="A38" s="258" t="s">
        <v>512</v>
      </c>
      <c r="B38" s="16" t="s">
        <v>593</v>
      </c>
      <c r="C38" s="258" t="s">
        <v>504</v>
      </c>
      <c r="D38" s="258" t="s">
        <v>1128</v>
      </c>
      <c r="E38" s="258" t="s">
        <v>69</v>
      </c>
      <c r="F38" s="258" t="s">
        <v>791</v>
      </c>
      <c r="G38" s="146" t="s">
        <v>70</v>
      </c>
      <c r="H38" s="146" t="s">
        <v>1515</v>
      </c>
      <c r="I38" s="16" t="s">
        <v>519</v>
      </c>
      <c r="J38" s="16"/>
      <c r="K38" s="258" t="s">
        <v>765</v>
      </c>
      <c r="M38" s="13" t="str">
        <f>"COMMENT ON COLUMN PG_SILVER."&amp;G38&amp;"."&amp;H38&amp;" IS '"&amp;K38&amp;"';"</f>
        <v>COMMENT ON COLUMN PG_SILVER.LOAN_AR.EFF_DT IS 'Ngày hiệu lực hợp đồng';</v>
      </c>
    </row>
    <row r="39" spans="1:29">
      <c r="A39" s="16" t="s">
        <v>414</v>
      </c>
      <c r="B39" s="16" t="s">
        <v>419</v>
      </c>
      <c r="C39" s="258" t="s">
        <v>420</v>
      </c>
      <c r="D39" s="258" t="s">
        <v>1128</v>
      </c>
      <c r="E39" s="258" t="s">
        <v>69</v>
      </c>
      <c r="F39" s="13" t="s">
        <v>666</v>
      </c>
      <c r="G39" s="146" t="s">
        <v>70</v>
      </c>
      <c r="H39" s="162" t="s">
        <v>1480</v>
      </c>
      <c r="I39" s="16" t="s">
        <v>519</v>
      </c>
      <c r="J39" s="16"/>
      <c r="K39" s="13" t="s">
        <v>665</v>
      </c>
      <c r="M39" s="13" t="str">
        <f>"COMMENT ON COLUMN PG_SILVER."&amp;G39&amp;"."&amp;H39&amp;" IS '"&amp;K39&amp;"';"</f>
        <v>COMMENT ON COLUMN PG_SILVER.LOAN_AR.FCC_VAL_DT IS 'Ngày ghi nhận';</v>
      </c>
    </row>
    <row r="40" spans="1:29">
      <c r="A40" s="16"/>
      <c r="B40" s="16"/>
      <c r="C40" s="16"/>
      <c r="D40" s="16" t="s">
        <v>2073</v>
      </c>
      <c r="E40" s="258" t="s">
        <v>69</v>
      </c>
      <c r="F40" s="16" t="s">
        <v>1290</v>
      </c>
      <c r="G40" s="146" t="s">
        <v>70</v>
      </c>
      <c r="H40" s="16" t="s">
        <v>1291</v>
      </c>
      <c r="I40" s="16" t="s">
        <v>519</v>
      </c>
      <c r="J40" s="16">
        <v>8</v>
      </c>
      <c r="K40" s="16" t="s">
        <v>1292</v>
      </c>
      <c r="M40" s="13" t="str">
        <f>"COMMENT ON COLUMN PG_SILVER."&amp;G40&amp;"."&amp;H40&amp;" IS '"&amp;K40&amp;"';"</f>
        <v>COMMENT ON COLUMN PG_SILVER.LOAN_AR.SYS_EFF_DT IS 'Ngày bản ghi lần đầu tiên vào hệ thống';</v>
      </c>
    </row>
    <row r="41" spans="1:29">
      <c r="A41" s="16"/>
      <c r="B41" s="16"/>
      <c r="C41" s="16"/>
      <c r="D41" s="16" t="s">
        <v>1293</v>
      </c>
      <c r="E41" s="258" t="s">
        <v>69</v>
      </c>
      <c r="F41" s="16" t="s">
        <v>1294</v>
      </c>
      <c r="G41" s="146" t="s">
        <v>70</v>
      </c>
      <c r="H41" s="16" t="s">
        <v>1295</v>
      </c>
      <c r="I41" s="16" t="s">
        <v>519</v>
      </c>
      <c r="J41" s="16">
        <v>8</v>
      </c>
      <c r="K41" s="16" t="s">
        <v>1296</v>
      </c>
      <c r="M41" s="13" t="str">
        <f>"COMMENT ON COLUMN PG_SILVER."&amp;G41&amp;"."&amp;H41&amp;" IS '"&amp;K41&amp;"';"</f>
        <v>COMMENT ON COLUMN PG_SILVER.LOAN_AR.SYS_EXP_DT IS 'Ngày hết hạn của bản ghi';</v>
      </c>
    </row>
    <row r="42" spans="1:29">
      <c r="A42" s="16"/>
      <c r="B42" s="16"/>
      <c r="C42" s="16"/>
      <c r="D42" s="16" t="s">
        <v>1297</v>
      </c>
      <c r="E42" s="258" t="s">
        <v>69</v>
      </c>
      <c r="F42" s="16" t="s">
        <v>1298</v>
      </c>
      <c r="G42" s="146" t="s">
        <v>70</v>
      </c>
      <c r="H42" s="16" t="s">
        <v>1299</v>
      </c>
      <c r="I42" s="16" t="s">
        <v>519</v>
      </c>
      <c r="J42" s="16">
        <v>8</v>
      </c>
      <c r="K42" s="16" t="s">
        <v>1300</v>
      </c>
      <c r="M42" s="13" t="str">
        <f>"COMMENT ON COLUMN PG_SILVER."&amp;G42&amp;"."&amp;H42&amp;" IS '"&amp;K42&amp;"';"</f>
        <v>COMMENT ON COLUMN PG_SILVER.LOAN_AR.SYS_UDT_DT IS 'Ngày update dữ liệu gần nhất';</v>
      </c>
    </row>
    <row r="44" spans="1:29">
      <c r="A44" s="138" t="s">
        <v>1433</v>
      </c>
    </row>
    <row r="45" spans="1:29">
      <c r="A45" s="34" t="s">
        <v>1058</v>
      </c>
      <c r="B45" s="34" t="s">
        <v>1059</v>
      </c>
      <c r="C45" s="34"/>
      <c r="D45" s="34" t="s">
        <v>1060</v>
      </c>
      <c r="E45" s="34"/>
      <c r="F45" s="34"/>
      <c r="G45" s="34"/>
      <c r="H45" s="34"/>
      <c r="I45" s="34"/>
      <c r="J45" s="34"/>
      <c r="K45" s="34"/>
    </row>
    <row r="46" spans="1:29">
      <c r="A46" s="16" t="s">
        <v>512</v>
      </c>
      <c r="B46" s="16" t="s">
        <v>620</v>
      </c>
      <c r="C46" s="281" t="s">
        <v>2074</v>
      </c>
      <c r="D46" s="42" t="s">
        <v>2075</v>
      </c>
      <c r="E46" s="28"/>
      <c r="F46" s="28"/>
      <c r="G46" s="28"/>
      <c r="H46" s="28"/>
      <c r="I46" s="28"/>
      <c r="J46" s="28"/>
      <c r="K46" s="28"/>
    </row>
    <row r="47" spans="1:29">
      <c r="A47" s="281" t="s">
        <v>414</v>
      </c>
      <c r="B47" s="281" t="s">
        <v>419</v>
      </c>
      <c r="C47" s="42" t="s">
        <v>2076</v>
      </c>
      <c r="D47" s="42" t="s">
        <v>2077</v>
      </c>
      <c r="E47" s="28"/>
      <c r="F47" s="28"/>
      <c r="G47" s="28"/>
      <c r="H47" s="28"/>
      <c r="I47" s="28"/>
      <c r="J47" s="28"/>
      <c r="K47" s="28"/>
    </row>
    <row r="48" spans="1:29">
      <c r="A48" s="311" t="s">
        <v>414</v>
      </c>
      <c r="B48" s="311" t="s">
        <v>422</v>
      </c>
      <c r="C48" s="281" t="s">
        <v>2053</v>
      </c>
      <c r="D48" s="42" t="s">
        <v>2078</v>
      </c>
      <c r="E48" s="28"/>
      <c r="F48" s="28"/>
      <c r="G48" s="28"/>
      <c r="H48" s="28"/>
      <c r="I48" s="28"/>
      <c r="J48" s="28"/>
      <c r="K48" s="28"/>
    </row>
    <row r="49" spans="1:29">
      <c r="A49" s="16" t="s">
        <v>437</v>
      </c>
      <c r="B49" s="16" t="s">
        <v>441</v>
      </c>
      <c r="C49" s="281" t="s">
        <v>2055</v>
      </c>
      <c r="D49" s="42" t="s">
        <v>2079</v>
      </c>
      <c r="E49" s="28"/>
      <c r="F49" s="28"/>
      <c r="G49" s="28"/>
      <c r="H49" s="28"/>
      <c r="I49" s="28"/>
      <c r="J49" s="28"/>
      <c r="K49" s="28"/>
    </row>
    <row r="50" spans="1:29">
      <c r="A50" s="311" t="s">
        <v>437</v>
      </c>
      <c r="B50" s="311" t="s">
        <v>438</v>
      </c>
      <c r="C50" s="281" t="s">
        <v>2057</v>
      </c>
      <c r="D50" s="238" t="s">
        <v>2058</v>
      </c>
      <c r="E50" s="28"/>
      <c r="F50" s="28"/>
      <c r="G50" s="28"/>
      <c r="H50" s="28"/>
      <c r="I50" s="28"/>
      <c r="J50" s="28"/>
      <c r="K50" s="28"/>
    </row>
    <row r="51" spans="1:29">
      <c r="A51" s="16" t="s">
        <v>437</v>
      </c>
      <c r="B51" s="16" t="s">
        <v>445</v>
      </c>
      <c r="C51" s="281" t="s">
        <v>2059</v>
      </c>
      <c r="D51" s="307" t="s">
        <v>2060</v>
      </c>
      <c r="E51" s="28"/>
      <c r="F51" s="28"/>
      <c r="G51" s="28"/>
      <c r="H51" s="28"/>
      <c r="I51" s="28"/>
      <c r="J51" s="28"/>
      <c r="K51" s="28"/>
    </row>
    <row r="52" spans="1:29">
      <c r="A52" s="16" t="s">
        <v>512</v>
      </c>
      <c r="B52" s="16" t="s">
        <v>513</v>
      </c>
      <c r="C52" s="28" t="s">
        <v>1510</v>
      </c>
      <c r="D52" s="281" t="s">
        <v>2080</v>
      </c>
      <c r="E52" s="28"/>
      <c r="F52" s="28"/>
      <c r="G52" s="28"/>
      <c r="H52" s="28"/>
      <c r="I52" s="28"/>
      <c r="J52" s="28"/>
      <c r="K52" s="28"/>
    </row>
    <row r="53" spans="1:29">
      <c r="A53" s="230"/>
      <c r="B53" s="230"/>
      <c r="C53" s="230"/>
      <c r="D53" s="230"/>
      <c r="E53" s="230"/>
      <c r="F53" s="230"/>
      <c r="G53" s="230"/>
      <c r="H53" s="230"/>
      <c r="I53" s="230"/>
      <c r="J53" s="230"/>
      <c r="K53" s="230"/>
    </row>
    <row r="54" spans="1:29">
      <c r="A54" s="240" t="s">
        <v>1058</v>
      </c>
      <c r="B54" s="240" t="s">
        <v>1059</v>
      </c>
      <c r="C54" s="240" t="s">
        <v>1065</v>
      </c>
      <c r="D54" s="240" t="s">
        <v>1066</v>
      </c>
      <c r="E54" s="240" t="s">
        <v>1067</v>
      </c>
      <c r="F54" s="240" t="s">
        <v>1068</v>
      </c>
      <c r="G54" s="240" t="s">
        <v>1069</v>
      </c>
      <c r="H54" s="240" t="s">
        <v>1070</v>
      </c>
      <c r="I54" s="240" t="s">
        <v>1071</v>
      </c>
      <c r="J54" s="240" t="s">
        <v>1072</v>
      </c>
      <c r="K54" s="240" t="s">
        <v>1073</v>
      </c>
    </row>
    <row r="55" spans="1:29">
      <c r="A55" s="13"/>
      <c r="B55" s="18"/>
      <c r="C55" s="13"/>
      <c r="D55" s="239" t="s">
        <v>2081</v>
      </c>
      <c r="E55" s="13"/>
      <c r="F55" s="311" t="s">
        <v>1093</v>
      </c>
      <c r="G55" s="146" t="s">
        <v>70</v>
      </c>
      <c r="H55" s="311" t="s">
        <v>316</v>
      </c>
      <c r="I55" s="16" t="s">
        <v>1327</v>
      </c>
      <c r="J55" s="16">
        <v>40</v>
      </c>
      <c r="K55" s="18"/>
    </row>
    <row r="56" spans="1:29">
      <c r="A56" s="16" t="s">
        <v>512</v>
      </c>
      <c r="B56" s="16" t="s">
        <v>620</v>
      </c>
      <c r="C56" s="258" t="s">
        <v>490</v>
      </c>
      <c r="D56" s="41" t="s">
        <v>2082</v>
      </c>
      <c r="E56" s="258" t="s">
        <v>69</v>
      </c>
      <c r="F56" s="258" t="s">
        <v>1077</v>
      </c>
      <c r="G56" s="146" t="s">
        <v>70</v>
      </c>
      <c r="H56" s="146" t="s">
        <v>1078</v>
      </c>
      <c r="I56" s="16" t="s">
        <v>1079</v>
      </c>
      <c r="J56" s="16">
        <v>32</v>
      </c>
      <c r="K56" s="16" t="s">
        <v>1733</v>
      </c>
    </row>
    <row r="57" spans="1:29">
      <c r="A57" s="16" t="s">
        <v>512</v>
      </c>
      <c r="B57" s="16" t="s">
        <v>620</v>
      </c>
      <c r="C57" s="258" t="s">
        <v>490</v>
      </c>
      <c r="D57" s="258" t="s">
        <v>2083</v>
      </c>
      <c r="E57" s="258" t="s">
        <v>69</v>
      </c>
      <c r="F57" s="258" t="s">
        <v>928</v>
      </c>
      <c r="G57" s="146" t="s">
        <v>70</v>
      </c>
      <c r="H57" s="146" t="s">
        <v>1082</v>
      </c>
      <c r="I57" s="16" t="s">
        <v>1327</v>
      </c>
      <c r="J57" s="16">
        <v>40</v>
      </c>
      <c r="K57" s="258" t="s">
        <v>249</v>
      </c>
    </row>
    <row r="58" spans="1:29">
      <c r="A58" s="16" t="s">
        <v>512</v>
      </c>
      <c r="B58" s="16" t="s">
        <v>620</v>
      </c>
      <c r="C58" s="258" t="s">
        <v>507</v>
      </c>
      <c r="D58" s="258" t="s">
        <v>1128</v>
      </c>
      <c r="E58" s="258" t="s">
        <v>69</v>
      </c>
      <c r="F58" s="258" t="s">
        <v>877</v>
      </c>
      <c r="G58" s="146" t="s">
        <v>70</v>
      </c>
      <c r="H58" s="146" t="s">
        <v>1548</v>
      </c>
      <c r="I58" s="16" t="s">
        <v>1327</v>
      </c>
      <c r="J58" s="16">
        <v>40</v>
      </c>
      <c r="K58" s="258" t="s">
        <v>735</v>
      </c>
    </row>
    <row r="59" spans="1:29">
      <c r="A59" s="16" t="s">
        <v>512</v>
      </c>
      <c r="B59" s="16" t="s">
        <v>620</v>
      </c>
      <c r="C59" s="258" t="s">
        <v>595</v>
      </c>
      <c r="D59" s="258" t="s">
        <v>1128</v>
      </c>
      <c r="E59" s="258" t="s">
        <v>69</v>
      </c>
      <c r="F59" s="258" t="s">
        <v>880</v>
      </c>
      <c r="G59" s="146" t="s">
        <v>70</v>
      </c>
      <c r="H59" s="146" t="s">
        <v>1712</v>
      </c>
      <c r="I59" s="16" t="s">
        <v>1106</v>
      </c>
      <c r="J59" s="16">
        <v>25.5</v>
      </c>
      <c r="K59" s="24" t="s">
        <v>879</v>
      </c>
    </row>
    <row r="60" spans="1:29">
      <c r="A60" s="47"/>
      <c r="B60" s="47"/>
      <c r="C60" s="46"/>
      <c r="D60" s="46" t="s">
        <v>1535</v>
      </c>
      <c r="E60" s="46" t="s">
        <v>69</v>
      </c>
      <c r="F60" s="46" t="s">
        <v>854</v>
      </c>
      <c r="G60" s="233" t="s">
        <v>70</v>
      </c>
      <c r="H60" s="233" t="s">
        <v>1352</v>
      </c>
      <c r="I60" s="47" t="s">
        <v>1327</v>
      </c>
      <c r="J60" s="47">
        <v>20</v>
      </c>
      <c r="K60" s="46" t="s">
        <v>881</v>
      </c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</row>
    <row r="61" spans="1:29">
      <c r="A61" s="16" t="s">
        <v>512</v>
      </c>
      <c r="B61" s="16" t="s">
        <v>620</v>
      </c>
      <c r="C61" s="258" t="s">
        <v>597</v>
      </c>
      <c r="D61" s="258" t="s">
        <v>1128</v>
      </c>
      <c r="E61" s="258" t="s">
        <v>69</v>
      </c>
      <c r="F61" s="13" t="s">
        <v>748</v>
      </c>
      <c r="G61" s="146" t="s">
        <v>70</v>
      </c>
      <c r="H61" s="146" t="s">
        <v>1517</v>
      </c>
      <c r="I61" s="16" t="s">
        <v>1327</v>
      </c>
      <c r="J61" s="16">
        <v>20</v>
      </c>
      <c r="K61" s="258" t="s">
        <v>747</v>
      </c>
    </row>
    <row r="62" spans="1:29">
      <c r="A62" s="16" t="s">
        <v>512</v>
      </c>
      <c r="B62" s="16" t="s">
        <v>620</v>
      </c>
      <c r="C62" s="258" t="s">
        <v>460</v>
      </c>
      <c r="D62" s="258" t="s">
        <v>2064</v>
      </c>
      <c r="E62" s="258" t="s">
        <v>69</v>
      </c>
      <c r="F62" s="258" t="s">
        <v>843</v>
      </c>
      <c r="G62" s="146" t="s">
        <v>70</v>
      </c>
      <c r="H62" s="162" t="s">
        <v>1332</v>
      </c>
      <c r="I62" s="16" t="s">
        <v>1327</v>
      </c>
      <c r="J62" s="16">
        <v>20</v>
      </c>
      <c r="K62" s="258" t="s">
        <v>2065</v>
      </c>
    </row>
    <row r="63" spans="1:29">
      <c r="A63" s="16" t="s">
        <v>512</v>
      </c>
      <c r="B63" s="16" t="s">
        <v>620</v>
      </c>
      <c r="C63" s="258" t="s">
        <v>598</v>
      </c>
      <c r="D63" s="258" t="s">
        <v>1128</v>
      </c>
      <c r="E63" s="258" t="s">
        <v>69</v>
      </c>
      <c r="F63" s="258" t="s">
        <v>887</v>
      </c>
      <c r="G63" s="146" t="s">
        <v>70</v>
      </c>
      <c r="H63" s="146" t="s">
        <v>1518</v>
      </c>
      <c r="I63" s="16" t="s">
        <v>1327</v>
      </c>
      <c r="J63" s="16">
        <v>40</v>
      </c>
      <c r="K63" s="258" t="s">
        <v>935</v>
      </c>
    </row>
    <row r="64" spans="1:29">
      <c r="A64" s="16" t="s">
        <v>512</v>
      </c>
      <c r="B64" s="16" t="s">
        <v>620</v>
      </c>
      <c r="C64" s="258" t="s">
        <v>469</v>
      </c>
      <c r="D64" s="258" t="s">
        <v>1128</v>
      </c>
      <c r="E64" s="258" t="s">
        <v>69</v>
      </c>
      <c r="F64" s="258" t="s">
        <v>752</v>
      </c>
      <c r="G64" s="146" t="s">
        <v>70</v>
      </c>
      <c r="H64" s="146" t="s">
        <v>281</v>
      </c>
      <c r="I64" s="16" t="s">
        <v>1327</v>
      </c>
      <c r="J64" s="16">
        <v>20</v>
      </c>
      <c r="K64" s="258" t="s">
        <v>282</v>
      </c>
    </row>
    <row r="65" spans="1:29">
      <c r="A65" s="16" t="s">
        <v>512</v>
      </c>
      <c r="B65" s="16" t="s">
        <v>620</v>
      </c>
      <c r="C65" s="258" t="s">
        <v>470</v>
      </c>
      <c r="D65" s="258" t="s">
        <v>1128</v>
      </c>
      <c r="E65" s="258" t="s">
        <v>69</v>
      </c>
      <c r="F65" s="258" t="s">
        <v>847</v>
      </c>
      <c r="G65" s="146" t="s">
        <v>70</v>
      </c>
      <c r="H65" s="146" t="s">
        <v>253</v>
      </c>
      <c r="I65" s="16" t="s">
        <v>1327</v>
      </c>
      <c r="J65" s="16">
        <v>20</v>
      </c>
      <c r="K65" s="258" t="s">
        <v>254</v>
      </c>
    </row>
    <row r="66" spans="1:29">
      <c r="A66" s="16" t="s">
        <v>512</v>
      </c>
      <c r="B66" s="16" t="s">
        <v>620</v>
      </c>
      <c r="C66" s="258" t="s">
        <v>470</v>
      </c>
      <c r="D66" s="258" t="s">
        <v>2066</v>
      </c>
      <c r="E66" s="258" t="s">
        <v>69</v>
      </c>
      <c r="F66" s="258" t="s">
        <v>1459</v>
      </c>
      <c r="G66" s="146" t="s">
        <v>70</v>
      </c>
      <c r="H66" s="162" t="s">
        <v>1285</v>
      </c>
      <c r="I66" s="16"/>
      <c r="J66" s="16"/>
      <c r="K66" s="258" t="s">
        <v>254</v>
      </c>
    </row>
    <row r="67" spans="1:29">
      <c r="A67" s="16" t="s">
        <v>512</v>
      </c>
      <c r="B67" s="16" t="s">
        <v>620</v>
      </c>
      <c r="C67" s="258" t="s">
        <v>600</v>
      </c>
      <c r="D67" s="258" t="s">
        <v>1128</v>
      </c>
      <c r="E67" s="258" t="s">
        <v>69</v>
      </c>
      <c r="F67" s="258" t="s">
        <v>892</v>
      </c>
      <c r="G67" s="146" t="s">
        <v>70</v>
      </c>
      <c r="H67" s="146" t="s">
        <v>2067</v>
      </c>
      <c r="I67" s="16" t="s">
        <v>1106</v>
      </c>
      <c r="J67" s="16">
        <v>25.5</v>
      </c>
      <c r="K67" s="258" t="s">
        <v>891</v>
      </c>
    </row>
    <row r="68" spans="1:29">
      <c r="A68" s="16" t="s">
        <v>512</v>
      </c>
      <c r="B68" s="16" t="s">
        <v>620</v>
      </c>
      <c r="C68" s="258" t="s">
        <v>601</v>
      </c>
      <c r="D68" s="258" t="s">
        <v>1128</v>
      </c>
      <c r="E68" s="258" t="s">
        <v>69</v>
      </c>
      <c r="F68" s="258" t="s">
        <v>894</v>
      </c>
      <c r="G68" s="146" t="s">
        <v>70</v>
      </c>
      <c r="H68" s="146" t="s">
        <v>1714</v>
      </c>
      <c r="I68" s="16" t="s">
        <v>1106</v>
      </c>
      <c r="J68" s="16">
        <v>25.5</v>
      </c>
      <c r="K68" s="258" t="s">
        <v>893</v>
      </c>
    </row>
    <row r="69" spans="1:29">
      <c r="A69" s="16"/>
      <c r="B69" s="16"/>
      <c r="C69" s="258"/>
      <c r="D69" s="258" t="s">
        <v>1535</v>
      </c>
      <c r="E69" s="258" t="s">
        <v>69</v>
      </c>
      <c r="F69" s="13" t="s">
        <v>896</v>
      </c>
      <c r="G69" s="146" t="s">
        <v>70</v>
      </c>
      <c r="H69" s="162" t="s">
        <v>1638</v>
      </c>
      <c r="I69" s="16" t="s">
        <v>1327</v>
      </c>
      <c r="J69" s="16">
        <v>20</v>
      </c>
      <c r="K69" s="13" t="s">
        <v>895</v>
      </c>
    </row>
    <row r="70" spans="1:29">
      <c r="A70" s="16" t="s">
        <v>512</v>
      </c>
      <c r="B70" s="16" t="s">
        <v>620</v>
      </c>
      <c r="C70" s="258" t="s">
        <v>603</v>
      </c>
      <c r="D70" s="258" t="s">
        <v>1128</v>
      </c>
      <c r="E70" s="258" t="s">
        <v>69</v>
      </c>
      <c r="F70" s="258" t="s">
        <v>897</v>
      </c>
      <c r="G70" s="146" t="s">
        <v>70</v>
      </c>
      <c r="H70" s="146" t="s">
        <v>1482</v>
      </c>
      <c r="I70" s="16" t="s">
        <v>519</v>
      </c>
      <c r="J70" s="16"/>
      <c r="K70" s="258" t="s">
        <v>757</v>
      </c>
    </row>
    <row r="71" spans="1:29">
      <c r="A71" s="47"/>
      <c r="B71" s="47"/>
      <c r="C71" s="46"/>
      <c r="D71" s="46" t="s">
        <v>1535</v>
      </c>
      <c r="E71" s="46" t="s">
        <v>69</v>
      </c>
      <c r="F71" s="46" t="s">
        <v>772</v>
      </c>
      <c r="G71" s="233" t="s">
        <v>70</v>
      </c>
      <c r="H71" s="233" t="s">
        <v>1376</v>
      </c>
      <c r="I71" s="47" t="s">
        <v>1327</v>
      </c>
      <c r="J71" s="47">
        <v>20</v>
      </c>
      <c r="K71" s="46" t="s">
        <v>899</v>
      </c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</row>
    <row r="72" spans="1:29">
      <c r="A72" s="16"/>
      <c r="B72" s="16"/>
      <c r="C72" s="258"/>
      <c r="D72" s="258" t="s">
        <v>1535</v>
      </c>
      <c r="E72" s="258" t="s">
        <v>69</v>
      </c>
      <c r="F72" s="258" t="s">
        <v>1869</v>
      </c>
      <c r="G72" s="146" t="s">
        <v>70</v>
      </c>
      <c r="H72" s="146" t="s">
        <v>1540</v>
      </c>
      <c r="I72" s="16" t="s">
        <v>1327</v>
      </c>
      <c r="J72" s="16">
        <v>20</v>
      </c>
      <c r="K72" s="258" t="s">
        <v>910</v>
      </c>
    </row>
    <row r="73" spans="1:29">
      <c r="A73" s="16"/>
      <c r="B73" s="16"/>
      <c r="C73" s="258"/>
      <c r="D73" s="258" t="s">
        <v>1535</v>
      </c>
      <c r="E73" s="258" t="s">
        <v>69</v>
      </c>
      <c r="F73" s="258" t="s">
        <v>2069</v>
      </c>
      <c r="G73" s="146" t="s">
        <v>70</v>
      </c>
      <c r="H73" s="162" t="s">
        <v>1865</v>
      </c>
      <c r="I73" s="16"/>
      <c r="J73" s="16"/>
      <c r="K73" s="258" t="s">
        <v>910</v>
      </c>
    </row>
    <row r="74" spans="1:29">
      <c r="A74" s="16" t="s">
        <v>512</v>
      </c>
      <c r="B74" s="16" t="s">
        <v>620</v>
      </c>
      <c r="C74" s="258" t="s">
        <v>520</v>
      </c>
      <c r="D74" s="258" t="s">
        <v>1128</v>
      </c>
      <c r="E74" s="258" t="s">
        <v>69</v>
      </c>
      <c r="F74" s="258" t="s">
        <v>913</v>
      </c>
      <c r="G74" s="146" t="s">
        <v>70</v>
      </c>
      <c r="H74" s="146" t="s">
        <v>267</v>
      </c>
      <c r="I74" s="16" t="s">
        <v>1327</v>
      </c>
      <c r="J74" s="16">
        <v>20</v>
      </c>
      <c r="K74" s="258" t="s">
        <v>912</v>
      </c>
    </row>
    <row r="75" spans="1:29">
      <c r="A75" s="16"/>
      <c r="B75" s="16"/>
      <c r="C75" s="258"/>
      <c r="D75" s="258" t="s">
        <v>1535</v>
      </c>
      <c r="E75" s="258" t="s">
        <v>69</v>
      </c>
      <c r="F75" s="13" t="s">
        <v>915</v>
      </c>
      <c r="G75" s="146" t="s">
        <v>70</v>
      </c>
      <c r="H75" s="126" t="s">
        <v>1666</v>
      </c>
      <c r="I75" s="16" t="s">
        <v>1327</v>
      </c>
      <c r="J75" s="16">
        <v>40</v>
      </c>
      <c r="K75" s="258" t="s">
        <v>914</v>
      </c>
    </row>
    <row r="76" spans="1:29">
      <c r="A76" s="47" t="s">
        <v>512</v>
      </c>
      <c r="B76" s="47" t="s">
        <v>620</v>
      </c>
      <c r="C76" s="46" t="s">
        <v>557</v>
      </c>
      <c r="D76" s="46" t="s">
        <v>1128</v>
      </c>
      <c r="E76" s="46" t="s">
        <v>69</v>
      </c>
      <c r="F76" s="46" t="s">
        <v>917</v>
      </c>
      <c r="G76" s="233" t="s">
        <v>70</v>
      </c>
      <c r="H76" s="233" t="s">
        <v>2070</v>
      </c>
      <c r="I76" s="47" t="s">
        <v>1327</v>
      </c>
      <c r="J76" s="47">
        <v>20</v>
      </c>
      <c r="K76" s="46" t="s">
        <v>916</v>
      </c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</row>
    <row r="77" spans="1:29">
      <c r="A77" s="16" t="s">
        <v>512</v>
      </c>
      <c r="B77" s="16" t="s">
        <v>620</v>
      </c>
      <c r="C77" s="258" t="s">
        <v>612</v>
      </c>
      <c r="D77" s="258" t="s">
        <v>1128</v>
      </c>
      <c r="E77" s="258" t="s">
        <v>69</v>
      </c>
      <c r="F77" s="258" t="s">
        <v>919</v>
      </c>
      <c r="G77" s="146" t="s">
        <v>70</v>
      </c>
      <c r="H77" s="146" t="s">
        <v>1533</v>
      </c>
      <c r="I77" s="16" t="s">
        <v>519</v>
      </c>
      <c r="J77" s="16"/>
      <c r="K77" s="258" t="s">
        <v>918</v>
      </c>
    </row>
    <row r="78" spans="1:29">
      <c r="A78" s="16"/>
      <c r="B78" s="16"/>
      <c r="C78" s="258"/>
      <c r="D78" s="41" t="s">
        <v>2084</v>
      </c>
      <c r="E78" s="258" t="s">
        <v>69</v>
      </c>
      <c r="F78" s="13" t="s">
        <v>691</v>
      </c>
      <c r="G78" s="146" t="s">
        <v>70</v>
      </c>
      <c r="H78" s="146" t="s">
        <v>284</v>
      </c>
      <c r="I78" s="16" t="s">
        <v>1327</v>
      </c>
      <c r="J78" s="16">
        <v>20</v>
      </c>
      <c r="K78" s="258" t="s">
        <v>924</v>
      </c>
    </row>
    <row r="79" spans="1:29">
      <c r="A79" s="16"/>
      <c r="B79" s="16"/>
      <c r="C79" s="258"/>
      <c r="D79" s="258" t="s">
        <v>2085</v>
      </c>
      <c r="E79" s="258" t="s">
        <v>69</v>
      </c>
      <c r="F79" s="258" t="s">
        <v>683</v>
      </c>
      <c r="G79" s="146" t="s">
        <v>70</v>
      </c>
      <c r="H79" s="146" t="s">
        <v>1594</v>
      </c>
      <c r="I79" s="16" t="s">
        <v>1327</v>
      </c>
      <c r="J79" s="16">
        <v>40</v>
      </c>
      <c r="K79" s="258" t="s">
        <v>387</v>
      </c>
    </row>
    <row r="80" spans="1:29">
      <c r="A80" s="16" t="s">
        <v>512</v>
      </c>
      <c r="B80" s="16" t="s">
        <v>620</v>
      </c>
      <c r="C80" s="258" t="s">
        <v>619</v>
      </c>
      <c r="D80" s="258" t="s">
        <v>1128</v>
      </c>
      <c r="E80" s="258" t="s">
        <v>69</v>
      </c>
      <c r="F80" s="258" t="s">
        <v>932</v>
      </c>
      <c r="G80" s="146" t="s">
        <v>70</v>
      </c>
      <c r="H80" s="146" t="s">
        <v>1646</v>
      </c>
      <c r="I80" s="16" t="s">
        <v>1327</v>
      </c>
      <c r="J80" s="16">
        <v>40</v>
      </c>
      <c r="K80" s="258" t="s">
        <v>931</v>
      </c>
    </row>
    <row r="81" spans="1:29">
      <c r="A81" s="16" t="s">
        <v>512</v>
      </c>
      <c r="B81" s="16" t="s">
        <v>620</v>
      </c>
      <c r="C81" s="258" t="s">
        <v>504</v>
      </c>
      <c r="D81" s="258" t="s">
        <v>1128</v>
      </c>
      <c r="E81" s="258" t="s">
        <v>69</v>
      </c>
      <c r="F81" s="258" t="s">
        <v>791</v>
      </c>
      <c r="G81" s="146" t="s">
        <v>70</v>
      </c>
      <c r="H81" s="146" t="s">
        <v>1515</v>
      </c>
      <c r="I81" s="16" t="s">
        <v>519</v>
      </c>
      <c r="J81" s="16"/>
      <c r="K81" s="258" t="s">
        <v>765</v>
      </c>
    </row>
    <row r="82" spans="1:29">
      <c r="A82" s="16" t="s">
        <v>414</v>
      </c>
      <c r="B82" s="16" t="s">
        <v>419</v>
      </c>
      <c r="C82" s="258" t="s">
        <v>420</v>
      </c>
      <c r="D82" s="258" t="s">
        <v>1128</v>
      </c>
      <c r="E82" s="258" t="s">
        <v>69</v>
      </c>
      <c r="F82" s="13" t="s">
        <v>666</v>
      </c>
      <c r="G82" s="146" t="s">
        <v>70</v>
      </c>
      <c r="H82" s="162" t="s">
        <v>1480</v>
      </c>
      <c r="I82" s="16" t="s">
        <v>519</v>
      </c>
      <c r="J82" s="16"/>
      <c r="K82" s="13" t="s">
        <v>665</v>
      </c>
    </row>
    <row r="83" spans="1:29">
      <c r="A83" s="16"/>
      <c r="B83" s="16"/>
      <c r="C83" s="16"/>
      <c r="D83" s="16" t="s">
        <v>2073</v>
      </c>
      <c r="E83" s="258" t="s">
        <v>69</v>
      </c>
      <c r="F83" s="16" t="s">
        <v>1290</v>
      </c>
      <c r="G83" s="146" t="s">
        <v>70</v>
      </c>
      <c r="H83" s="16" t="s">
        <v>1291</v>
      </c>
      <c r="I83" s="16" t="s">
        <v>519</v>
      </c>
      <c r="J83" s="16">
        <v>8</v>
      </c>
      <c r="K83" s="16" t="s">
        <v>1292</v>
      </c>
    </row>
    <row r="84" spans="1:29">
      <c r="A84" s="16"/>
      <c r="B84" s="16"/>
      <c r="C84" s="16"/>
      <c r="D84" s="16" t="s">
        <v>1293</v>
      </c>
      <c r="E84" s="258" t="s">
        <v>69</v>
      </c>
      <c r="F84" s="16" t="s">
        <v>1294</v>
      </c>
      <c r="G84" s="146" t="s">
        <v>70</v>
      </c>
      <c r="H84" s="16" t="s">
        <v>1295</v>
      </c>
      <c r="I84" s="16" t="s">
        <v>519</v>
      </c>
      <c r="J84" s="16">
        <v>8</v>
      </c>
      <c r="K84" s="16" t="s">
        <v>1296</v>
      </c>
    </row>
    <row r="85" spans="1:29">
      <c r="A85" s="16"/>
      <c r="B85" s="16"/>
      <c r="C85" s="16"/>
      <c r="D85" s="16" t="s">
        <v>1297</v>
      </c>
      <c r="E85" s="258" t="s">
        <v>69</v>
      </c>
      <c r="F85" s="16" t="s">
        <v>1298</v>
      </c>
      <c r="G85" s="146" t="s">
        <v>70</v>
      </c>
      <c r="H85" s="16" t="s">
        <v>1299</v>
      </c>
      <c r="I85" s="16" t="s">
        <v>519</v>
      </c>
      <c r="J85" s="16">
        <v>8</v>
      </c>
      <c r="K85" s="16" t="s">
        <v>1300</v>
      </c>
    </row>
    <row r="87" spans="1:29">
      <c r="A87" s="138" t="s">
        <v>1433</v>
      </c>
    </row>
    <row r="88" spans="1:29">
      <c r="A88" s="34" t="s">
        <v>1058</v>
      </c>
      <c r="B88" s="34" t="s">
        <v>1059</v>
      </c>
      <c r="C88" s="34"/>
      <c r="D88" s="34" t="s">
        <v>1060</v>
      </c>
      <c r="E88" s="34"/>
      <c r="F88" s="34"/>
      <c r="G88" s="34"/>
      <c r="H88" s="34"/>
      <c r="I88" s="34"/>
      <c r="J88" s="34"/>
      <c r="K88" s="34"/>
    </row>
    <row r="89" spans="1:29">
      <c r="A89" s="258" t="s">
        <v>512</v>
      </c>
      <c r="B89" s="16" t="s">
        <v>626</v>
      </c>
      <c r="C89" s="281" t="s">
        <v>1501</v>
      </c>
      <c r="D89" s="42"/>
      <c r="E89" s="28"/>
      <c r="F89" s="28"/>
      <c r="G89" s="28"/>
      <c r="H89" s="28"/>
      <c r="I89" s="28"/>
      <c r="J89" s="28"/>
      <c r="K89" s="28"/>
    </row>
    <row r="90" spans="1:29">
      <c r="A90" s="285" t="s">
        <v>512</v>
      </c>
      <c r="B90" s="311" t="s">
        <v>638</v>
      </c>
      <c r="C90" s="308" t="s">
        <v>1314</v>
      </c>
      <c r="D90" s="308" t="s">
        <v>2086</v>
      </c>
      <c r="E90" s="241"/>
      <c r="F90" s="241"/>
      <c r="G90" s="241"/>
      <c r="H90" s="241"/>
      <c r="I90" s="241"/>
      <c r="J90" s="241"/>
      <c r="K90" s="241"/>
    </row>
    <row r="91" spans="1:29">
      <c r="A91" s="242"/>
      <c r="B91" s="242"/>
      <c r="C91" s="243"/>
      <c r="D91" s="243"/>
      <c r="E91" s="243"/>
      <c r="F91" s="243"/>
      <c r="G91" s="243"/>
      <c r="H91" s="243"/>
      <c r="I91" s="243"/>
      <c r="J91" s="243"/>
      <c r="K91" s="243"/>
    </row>
    <row r="92" spans="1:29">
      <c r="A92" s="242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4"/>
      <c r="M92" s="244"/>
      <c r="N92" s="244"/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</row>
    <row r="93" spans="1:29">
      <c r="A93" s="245" t="s">
        <v>1058</v>
      </c>
      <c r="B93" s="245" t="s">
        <v>1059</v>
      </c>
      <c r="C93" s="245" t="s">
        <v>1065</v>
      </c>
      <c r="D93" s="245" t="s">
        <v>1066</v>
      </c>
      <c r="E93" s="245" t="s">
        <v>1067</v>
      </c>
      <c r="F93" s="245" t="s">
        <v>1068</v>
      </c>
      <c r="G93" s="245" t="s">
        <v>1069</v>
      </c>
      <c r="H93" s="245" t="s">
        <v>1070</v>
      </c>
      <c r="I93" s="245" t="s">
        <v>1071</v>
      </c>
      <c r="J93" s="245" t="s">
        <v>1072</v>
      </c>
      <c r="K93" s="245" t="s">
        <v>1073</v>
      </c>
    </row>
    <row r="94" spans="1:29">
      <c r="A94" s="13"/>
      <c r="B94" s="18"/>
      <c r="C94" s="13"/>
      <c r="D94" s="239" t="s">
        <v>2087</v>
      </c>
      <c r="E94" s="13"/>
      <c r="F94" s="311" t="s">
        <v>1093</v>
      </c>
      <c r="G94" s="146" t="s">
        <v>70</v>
      </c>
      <c r="H94" s="311" t="s">
        <v>316</v>
      </c>
      <c r="I94" s="16" t="s">
        <v>1327</v>
      </c>
      <c r="J94" s="16">
        <v>40</v>
      </c>
      <c r="K94" s="18"/>
    </row>
    <row r="95" spans="1:29">
      <c r="A95" s="258" t="s">
        <v>512</v>
      </c>
      <c r="B95" s="16" t="s">
        <v>626</v>
      </c>
      <c r="C95" s="258" t="s">
        <v>490</v>
      </c>
      <c r="D95" s="258" t="s">
        <v>1076</v>
      </c>
      <c r="E95" s="258" t="s">
        <v>69</v>
      </c>
      <c r="F95" s="258" t="s">
        <v>1077</v>
      </c>
      <c r="G95" s="146" t="s">
        <v>70</v>
      </c>
      <c r="H95" s="146" t="s">
        <v>1078</v>
      </c>
      <c r="I95" s="16" t="s">
        <v>1079</v>
      </c>
      <c r="J95" s="16">
        <v>32</v>
      </c>
      <c r="K95" s="16" t="s">
        <v>1733</v>
      </c>
    </row>
    <row r="96" spans="1:29">
      <c r="A96" s="258" t="s">
        <v>512</v>
      </c>
      <c r="B96" s="16" t="s">
        <v>626</v>
      </c>
      <c r="C96" s="258" t="s">
        <v>490</v>
      </c>
      <c r="D96" s="258" t="s">
        <v>1128</v>
      </c>
      <c r="E96" s="258" t="s">
        <v>69</v>
      </c>
      <c r="F96" s="258" t="s">
        <v>928</v>
      </c>
      <c r="G96" s="146" t="s">
        <v>70</v>
      </c>
      <c r="H96" s="146" t="s">
        <v>1082</v>
      </c>
      <c r="I96" s="16" t="s">
        <v>1327</v>
      </c>
      <c r="J96" s="16">
        <v>40</v>
      </c>
      <c r="K96" s="258" t="s">
        <v>249</v>
      </c>
    </row>
    <row r="97" spans="1:29">
      <c r="A97" s="258" t="s">
        <v>512</v>
      </c>
      <c r="B97" s="16" t="s">
        <v>638</v>
      </c>
      <c r="C97" s="258" t="s">
        <v>507</v>
      </c>
      <c r="D97" s="258" t="s">
        <v>1128</v>
      </c>
      <c r="E97" s="258" t="s">
        <v>69</v>
      </c>
      <c r="F97" s="258" t="s">
        <v>877</v>
      </c>
      <c r="G97" s="146" t="s">
        <v>70</v>
      </c>
      <c r="H97" s="146" t="s">
        <v>1548</v>
      </c>
      <c r="I97" s="16" t="s">
        <v>1327</v>
      </c>
      <c r="J97" s="16">
        <v>40</v>
      </c>
      <c r="K97" s="258" t="s">
        <v>735</v>
      </c>
    </row>
    <row r="98" spans="1:29">
      <c r="A98" s="258" t="s">
        <v>512</v>
      </c>
      <c r="B98" s="16" t="s">
        <v>638</v>
      </c>
      <c r="C98" s="258" t="s">
        <v>595</v>
      </c>
      <c r="D98" s="258" t="s">
        <v>1128</v>
      </c>
      <c r="E98" s="258" t="s">
        <v>69</v>
      </c>
      <c r="F98" s="258" t="s">
        <v>880</v>
      </c>
      <c r="G98" s="146" t="s">
        <v>70</v>
      </c>
      <c r="H98" s="146" t="s">
        <v>1712</v>
      </c>
      <c r="I98" s="16" t="s">
        <v>1106</v>
      </c>
      <c r="J98" s="16">
        <v>25.5</v>
      </c>
      <c r="K98" s="24" t="s">
        <v>879</v>
      </c>
    </row>
    <row r="99" spans="1:29">
      <c r="A99" s="46" t="s">
        <v>512</v>
      </c>
      <c r="B99" s="47" t="s">
        <v>626</v>
      </c>
      <c r="C99" s="46" t="s">
        <v>596</v>
      </c>
      <c r="D99" s="46" t="s">
        <v>1128</v>
      </c>
      <c r="E99" s="46" t="s">
        <v>69</v>
      </c>
      <c r="F99" s="46" t="s">
        <v>854</v>
      </c>
      <c r="G99" s="233" t="s">
        <v>70</v>
      </c>
      <c r="H99" s="233" t="s">
        <v>1352</v>
      </c>
      <c r="I99" s="47" t="s">
        <v>1327</v>
      </c>
      <c r="J99" s="47">
        <v>20</v>
      </c>
      <c r="K99" s="46" t="s">
        <v>881</v>
      </c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 spans="1:29">
      <c r="A100" s="258" t="s">
        <v>512</v>
      </c>
      <c r="B100" s="16" t="s">
        <v>638</v>
      </c>
      <c r="C100" s="258" t="s">
        <v>597</v>
      </c>
      <c r="D100" s="258" t="s">
        <v>1128</v>
      </c>
      <c r="E100" s="258" t="s">
        <v>69</v>
      </c>
      <c r="F100" s="13" t="s">
        <v>748</v>
      </c>
      <c r="G100" s="146" t="s">
        <v>70</v>
      </c>
      <c r="H100" s="146" t="s">
        <v>1517</v>
      </c>
      <c r="I100" s="16" t="s">
        <v>1327</v>
      </c>
      <c r="J100" s="16">
        <v>20</v>
      </c>
      <c r="K100" s="258" t="s">
        <v>747</v>
      </c>
    </row>
    <row r="101" spans="1:29">
      <c r="A101" s="258" t="s">
        <v>512</v>
      </c>
      <c r="B101" s="16" t="s">
        <v>638</v>
      </c>
      <c r="C101" s="258" t="s">
        <v>460</v>
      </c>
      <c r="D101" s="258" t="s">
        <v>1128</v>
      </c>
      <c r="E101" s="258" t="s">
        <v>69</v>
      </c>
      <c r="F101" s="258" t="s">
        <v>843</v>
      </c>
      <c r="G101" s="146" t="s">
        <v>70</v>
      </c>
      <c r="H101" s="162" t="s">
        <v>1332</v>
      </c>
      <c r="I101" s="16" t="s">
        <v>1327</v>
      </c>
      <c r="J101" s="16">
        <v>20</v>
      </c>
      <c r="K101" s="258" t="s">
        <v>2065</v>
      </c>
    </row>
    <row r="102" spans="1:29">
      <c r="A102" s="258" t="s">
        <v>512</v>
      </c>
      <c r="B102" s="16" t="s">
        <v>626</v>
      </c>
      <c r="C102" s="258" t="s">
        <v>598</v>
      </c>
      <c r="D102" s="258" t="s">
        <v>1128</v>
      </c>
      <c r="E102" s="258" t="s">
        <v>69</v>
      </c>
      <c r="F102" s="258" t="s">
        <v>887</v>
      </c>
      <c r="G102" s="146" t="s">
        <v>70</v>
      </c>
      <c r="H102" s="146" t="s">
        <v>1518</v>
      </c>
      <c r="I102" s="16" t="s">
        <v>1327</v>
      </c>
      <c r="J102" s="16">
        <v>40</v>
      </c>
      <c r="K102" s="258" t="s">
        <v>935</v>
      </c>
    </row>
    <row r="103" spans="1:29">
      <c r="A103" s="258"/>
      <c r="B103" s="16"/>
      <c r="C103" s="258"/>
      <c r="D103" s="258" t="s">
        <v>1339</v>
      </c>
      <c r="E103" s="258" t="s">
        <v>69</v>
      </c>
      <c r="F103" s="258" t="s">
        <v>752</v>
      </c>
      <c r="G103" s="146" t="s">
        <v>70</v>
      </c>
      <c r="H103" s="146" t="s">
        <v>281</v>
      </c>
      <c r="I103" s="16" t="s">
        <v>1327</v>
      </c>
      <c r="J103" s="16">
        <v>20</v>
      </c>
      <c r="K103" s="258" t="s">
        <v>282</v>
      </c>
    </row>
    <row r="104" spans="1:29">
      <c r="A104" s="258" t="s">
        <v>512</v>
      </c>
      <c r="B104" s="16" t="s">
        <v>626</v>
      </c>
      <c r="C104" s="258" t="s">
        <v>513</v>
      </c>
      <c r="D104" s="258" t="s">
        <v>1128</v>
      </c>
      <c r="E104" s="258" t="s">
        <v>69</v>
      </c>
      <c r="F104" s="258" t="s">
        <v>847</v>
      </c>
      <c r="G104" s="146" t="s">
        <v>70</v>
      </c>
      <c r="H104" s="146" t="s">
        <v>253</v>
      </c>
      <c r="I104" s="16" t="s">
        <v>1327</v>
      </c>
      <c r="J104" s="16">
        <v>20</v>
      </c>
      <c r="K104" s="258" t="s">
        <v>254</v>
      </c>
    </row>
    <row r="105" spans="1:29">
      <c r="A105" s="258" t="s">
        <v>512</v>
      </c>
      <c r="B105" s="16" t="s">
        <v>626</v>
      </c>
      <c r="C105" s="258" t="s">
        <v>513</v>
      </c>
      <c r="D105" s="258" t="s">
        <v>2088</v>
      </c>
      <c r="E105" s="258" t="s">
        <v>69</v>
      </c>
      <c r="F105" s="258" t="s">
        <v>1459</v>
      </c>
      <c r="G105" s="146" t="s">
        <v>70</v>
      </c>
      <c r="H105" s="162" t="s">
        <v>1285</v>
      </c>
      <c r="I105" s="16"/>
      <c r="J105" s="16"/>
      <c r="K105" s="258" t="s">
        <v>254</v>
      </c>
    </row>
    <row r="106" spans="1:29">
      <c r="A106" s="258"/>
      <c r="B106" s="16"/>
      <c r="C106" s="258"/>
      <c r="D106" s="258" t="s">
        <v>1535</v>
      </c>
      <c r="E106" s="258" t="s">
        <v>69</v>
      </c>
      <c r="F106" s="258" t="s">
        <v>892</v>
      </c>
      <c r="G106" s="146" t="s">
        <v>70</v>
      </c>
      <c r="H106" s="146" t="s">
        <v>2067</v>
      </c>
      <c r="I106" s="16" t="s">
        <v>1106</v>
      </c>
      <c r="J106" s="16">
        <v>25.5</v>
      </c>
      <c r="K106" s="258" t="s">
        <v>891</v>
      </c>
    </row>
    <row r="107" spans="1:29">
      <c r="A107" s="258"/>
      <c r="B107" s="16"/>
      <c r="C107" s="258"/>
      <c r="D107" s="258" t="s">
        <v>1535</v>
      </c>
      <c r="E107" s="258" t="s">
        <v>69</v>
      </c>
      <c r="F107" s="258" t="s">
        <v>894</v>
      </c>
      <c r="G107" s="146" t="s">
        <v>70</v>
      </c>
      <c r="H107" s="146" t="s">
        <v>1714</v>
      </c>
      <c r="I107" s="16" t="s">
        <v>1106</v>
      </c>
      <c r="J107" s="16">
        <v>25.5</v>
      </c>
      <c r="K107" s="258" t="s">
        <v>893</v>
      </c>
    </row>
    <row r="108" spans="1:29">
      <c r="A108" s="258"/>
      <c r="B108" s="16"/>
      <c r="C108" s="258"/>
      <c r="D108" s="258" t="s">
        <v>1535</v>
      </c>
      <c r="E108" s="258" t="s">
        <v>69</v>
      </c>
      <c r="F108" s="13" t="s">
        <v>896</v>
      </c>
      <c r="G108" s="146" t="s">
        <v>70</v>
      </c>
      <c r="H108" s="162" t="s">
        <v>1638</v>
      </c>
      <c r="I108" s="16" t="s">
        <v>1327</v>
      </c>
      <c r="J108" s="16">
        <v>20</v>
      </c>
      <c r="K108" s="13" t="s">
        <v>895</v>
      </c>
    </row>
    <row r="109" spans="1:29">
      <c r="A109" s="258" t="s">
        <v>512</v>
      </c>
      <c r="B109" s="16" t="s">
        <v>638</v>
      </c>
      <c r="C109" s="246" t="s">
        <v>635</v>
      </c>
      <c r="D109" s="258" t="s">
        <v>1128</v>
      </c>
      <c r="E109" s="258" t="s">
        <v>69</v>
      </c>
      <c r="F109" s="258" t="s">
        <v>897</v>
      </c>
      <c r="G109" s="146" t="s">
        <v>70</v>
      </c>
      <c r="H109" s="146" t="s">
        <v>1482</v>
      </c>
      <c r="I109" s="16" t="s">
        <v>519</v>
      </c>
      <c r="J109" s="16"/>
      <c r="K109" s="258" t="s">
        <v>757</v>
      </c>
    </row>
    <row r="110" spans="1:29">
      <c r="A110" s="46" t="s">
        <v>512</v>
      </c>
      <c r="B110" s="47" t="s">
        <v>626</v>
      </c>
      <c r="C110" s="46" t="s">
        <v>604</v>
      </c>
      <c r="D110" s="46" t="s">
        <v>1128</v>
      </c>
      <c r="E110" s="46" t="s">
        <v>69</v>
      </c>
      <c r="F110" s="46" t="s">
        <v>772</v>
      </c>
      <c r="G110" s="233" t="s">
        <v>70</v>
      </c>
      <c r="H110" s="233" t="s">
        <v>1376</v>
      </c>
      <c r="I110" s="47" t="s">
        <v>1327</v>
      </c>
      <c r="J110" s="47">
        <v>20</v>
      </c>
      <c r="K110" s="46" t="s">
        <v>899</v>
      </c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</row>
    <row r="111" spans="1:29">
      <c r="A111" s="258" t="s">
        <v>512</v>
      </c>
      <c r="B111" s="16" t="s">
        <v>626</v>
      </c>
      <c r="C111" s="258" t="s">
        <v>610</v>
      </c>
      <c r="D111" s="258" t="s">
        <v>1128</v>
      </c>
      <c r="E111" s="258" t="s">
        <v>69</v>
      </c>
      <c r="F111" s="258" t="s">
        <v>1869</v>
      </c>
      <c r="G111" s="146" t="s">
        <v>70</v>
      </c>
      <c r="H111" s="146" t="s">
        <v>1540</v>
      </c>
      <c r="I111" s="16" t="s">
        <v>1327</v>
      </c>
      <c r="J111" s="16">
        <v>20</v>
      </c>
      <c r="K111" s="258" t="s">
        <v>910</v>
      </c>
    </row>
    <row r="112" spans="1:29">
      <c r="A112" s="258" t="s">
        <v>512</v>
      </c>
      <c r="B112" s="16" t="s">
        <v>626</v>
      </c>
      <c r="C112" s="258" t="s">
        <v>610</v>
      </c>
      <c r="D112" s="258" t="s">
        <v>2068</v>
      </c>
      <c r="E112" s="258" t="s">
        <v>69</v>
      </c>
      <c r="F112" s="258" t="s">
        <v>2069</v>
      </c>
      <c r="G112" s="146" t="s">
        <v>70</v>
      </c>
      <c r="H112" s="162" t="s">
        <v>1865</v>
      </c>
      <c r="I112" s="16"/>
      <c r="J112" s="16"/>
      <c r="K112" s="258" t="s">
        <v>910</v>
      </c>
    </row>
    <row r="113" spans="1:29">
      <c r="A113" s="258"/>
      <c r="B113" s="16"/>
      <c r="C113" s="258"/>
      <c r="D113" s="258" t="s">
        <v>1339</v>
      </c>
      <c r="E113" s="258" t="s">
        <v>69</v>
      </c>
      <c r="F113" s="258" t="s">
        <v>913</v>
      </c>
      <c r="G113" s="146" t="s">
        <v>70</v>
      </c>
      <c r="H113" s="146" t="s">
        <v>267</v>
      </c>
      <c r="I113" s="16" t="s">
        <v>1327</v>
      </c>
      <c r="J113" s="16">
        <v>20</v>
      </c>
      <c r="K113" s="258" t="s">
        <v>912</v>
      </c>
    </row>
    <row r="114" spans="1:29">
      <c r="A114" s="258" t="s">
        <v>512</v>
      </c>
      <c r="B114" s="16" t="s">
        <v>626</v>
      </c>
      <c r="C114" s="258" t="s">
        <v>611</v>
      </c>
      <c r="D114" s="258" t="s">
        <v>1128</v>
      </c>
      <c r="E114" s="258" t="s">
        <v>69</v>
      </c>
      <c r="F114" s="13" t="s">
        <v>915</v>
      </c>
      <c r="G114" s="146" t="s">
        <v>70</v>
      </c>
      <c r="H114" s="126" t="s">
        <v>1666</v>
      </c>
      <c r="I114" s="16" t="s">
        <v>1327</v>
      </c>
      <c r="J114" s="16">
        <v>40</v>
      </c>
      <c r="K114" s="258" t="s">
        <v>914</v>
      </c>
    </row>
    <row r="115" spans="1:29">
      <c r="A115" s="46"/>
      <c r="B115" s="47"/>
      <c r="C115" s="46"/>
      <c r="D115" s="46"/>
      <c r="E115" s="46" t="s">
        <v>69</v>
      </c>
      <c r="F115" s="46" t="s">
        <v>917</v>
      </c>
      <c r="G115" s="233" t="s">
        <v>70</v>
      </c>
      <c r="H115" s="233" t="s">
        <v>2070</v>
      </c>
      <c r="I115" s="47" t="s">
        <v>1327</v>
      </c>
      <c r="J115" s="47">
        <v>20</v>
      </c>
      <c r="K115" s="46" t="s">
        <v>916</v>
      </c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</row>
    <row r="116" spans="1:29">
      <c r="A116" s="258"/>
      <c r="B116" s="16"/>
      <c r="C116" s="258"/>
      <c r="D116" s="258" t="s">
        <v>1339</v>
      </c>
      <c r="E116" s="258" t="s">
        <v>69</v>
      </c>
      <c r="F116" s="258" t="s">
        <v>919</v>
      </c>
      <c r="G116" s="146" t="s">
        <v>70</v>
      </c>
      <c r="H116" s="146" t="s">
        <v>1533</v>
      </c>
      <c r="I116" s="16" t="s">
        <v>519</v>
      </c>
      <c r="J116" s="16"/>
      <c r="K116" s="258" t="s">
        <v>918</v>
      </c>
    </row>
    <row r="117" spans="1:29">
      <c r="A117" s="258"/>
      <c r="B117" s="16"/>
      <c r="C117" s="258"/>
      <c r="D117" s="258" t="s">
        <v>1339</v>
      </c>
      <c r="E117" s="258" t="s">
        <v>69</v>
      </c>
      <c r="F117" s="13" t="s">
        <v>691</v>
      </c>
      <c r="G117" s="146" t="s">
        <v>70</v>
      </c>
      <c r="H117" s="146" t="s">
        <v>284</v>
      </c>
      <c r="I117" s="16" t="s">
        <v>1327</v>
      </c>
      <c r="J117" s="16">
        <v>20</v>
      </c>
      <c r="K117" s="258" t="s">
        <v>924</v>
      </c>
    </row>
    <row r="118" spans="1:29">
      <c r="A118" s="258"/>
      <c r="B118" s="16"/>
      <c r="C118" s="258"/>
      <c r="D118" s="258" t="s">
        <v>1339</v>
      </c>
      <c r="E118" s="258" t="s">
        <v>69</v>
      </c>
      <c r="F118" s="258" t="s">
        <v>683</v>
      </c>
      <c r="G118" s="146" t="s">
        <v>70</v>
      </c>
      <c r="H118" s="146" t="s">
        <v>1594</v>
      </c>
      <c r="I118" s="16" t="s">
        <v>1327</v>
      </c>
      <c r="J118" s="16">
        <v>40</v>
      </c>
      <c r="K118" s="258" t="s">
        <v>387</v>
      </c>
    </row>
    <row r="119" spans="1:29">
      <c r="A119" s="258"/>
      <c r="B119" s="16"/>
      <c r="C119" s="258"/>
      <c r="D119" s="258" t="s">
        <v>1339</v>
      </c>
      <c r="E119" s="258" t="s">
        <v>69</v>
      </c>
      <c r="F119" s="258" t="s">
        <v>932</v>
      </c>
      <c r="G119" s="146" t="s">
        <v>70</v>
      </c>
      <c r="H119" s="146" t="s">
        <v>1646</v>
      </c>
      <c r="I119" s="16" t="s">
        <v>1327</v>
      </c>
      <c r="J119" s="16">
        <v>40</v>
      </c>
      <c r="K119" s="258" t="s">
        <v>931</v>
      </c>
    </row>
    <row r="120" spans="1:29">
      <c r="A120" s="258" t="s">
        <v>512</v>
      </c>
      <c r="B120" s="16" t="s">
        <v>626</v>
      </c>
      <c r="C120" s="258"/>
      <c r="D120" s="258" t="s">
        <v>2089</v>
      </c>
      <c r="E120" s="258" t="s">
        <v>69</v>
      </c>
      <c r="F120" s="258" t="s">
        <v>791</v>
      </c>
      <c r="G120" s="146" t="s">
        <v>70</v>
      </c>
      <c r="H120" s="146" t="s">
        <v>1515</v>
      </c>
      <c r="I120" s="16" t="s">
        <v>519</v>
      </c>
      <c r="J120" s="16"/>
      <c r="K120" s="258" t="s">
        <v>765</v>
      </c>
    </row>
    <row r="121" spans="1:29">
      <c r="A121" s="258"/>
      <c r="B121" s="16"/>
      <c r="C121" s="258"/>
      <c r="D121" s="258" t="s">
        <v>1339</v>
      </c>
      <c r="E121" s="258" t="s">
        <v>69</v>
      </c>
      <c r="F121" s="13" t="s">
        <v>666</v>
      </c>
      <c r="G121" s="146" t="s">
        <v>70</v>
      </c>
      <c r="H121" s="162" t="s">
        <v>1480</v>
      </c>
      <c r="I121" s="16" t="s">
        <v>519</v>
      </c>
      <c r="J121" s="16"/>
      <c r="K121" s="13" t="s">
        <v>665</v>
      </c>
    </row>
    <row r="122" spans="1:29">
      <c r="A122" s="16"/>
      <c r="B122" s="16"/>
      <c r="C122" s="16"/>
      <c r="D122" s="16" t="s">
        <v>2073</v>
      </c>
      <c r="E122" s="258" t="s">
        <v>69</v>
      </c>
      <c r="F122" s="16" t="s">
        <v>1290</v>
      </c>
      <c r="G122" s="146" t="s">
        <v>70</v>
      </c>
      <c r="H122" s="16" t="s">
        <v>1291</v>
      </c>
      <c r="I122" s="16" t="s">
        <v>519</v>
      </c>
      <c r="J122" s="16">
        <v>8</v>
      </c>
      <c r="K122" s="16" t="s">
        <v>1292</v>
      </c>
    </row>
    <row r="123" spans="1:29">
      <c r="A123" s="16"/>
      <c r="B123" s="16"/>
      <c r="C123" s="16"/>
      <c r="D123" s="16" t="s">
        <v>1293</v>
      </c>
      <c r="E123" s="258" t="s">
        <v>69</v>
      </c>
      <c r="F123" s="16" t="s">
        <v>1294</v>
      </c>
      <c r="G123" s="146" t="s">
        <v>70</v>
      </c>
      <c r="H123" s="16" t="s">
        <v>1295</v>
      </c>
      <c r="I123" s="16" t="s">
        <v>519</v>
      </c>
      <c r="J123" s="16">
        <v>8</v>
      </c>
      <c r="K123" s="16" t="s">
        <v>1296</v>
      </c>
    </row>
    <row r="124" spans="1:29">
      <c r="A124" s="16"/>
      <c r="B124" s="16"/>
      <c r="C124" s="16"/>
      <c r="D124" s="16" t="s">
        <v>1297</v>
      </c>
      <c r="E124" s="258" t="s">
        <v>69</v>
      </c>
      <c r="F124" s="16" t="s">
        <v>1298</v>
      </c>
      <c r="G124" s="146" t="s">
        <v>70</v>
      </c>
      <c r="H124" s="16" t="s">
        <v>1299</v>
      </c>
      <c r="I124" s="16" t="s">
        <v>519</v>
      </c>
      <c r="J124" s="16">
        <v>8</v>
      </c>
      <c r="K124" s="16" t="s">
        <v>1300</v>
      </c>
    </row>
  </sheetData>
  <hyperlinks>
    <hyperlink ref="D7" r:id="rId1" xr:uid="{00000000-0004-0000-1C00-000000000000}"/>
    <hyperlink ref="D8" r:id="rId2" xr:uid="{00000000-0004-0000-1C00-000001000000}"/>
    <hyperlink ref="D50" r:id="rId3" xr:uid="{00000000-0004-0000-1C00-000002000000}"/>
    <hyperlink ref="D51" r:id="rId4" xr:uid="{00000000-0004-0000-1C00-000003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C147"/>
  <sheetViews>
    <sheetView workbookViewId="0"/>
  </sheetViews>
  <sheetFormatPr defaultColWidth="14.42578125" defaultRowHeight="15" customHeight="1"/>
  <cols>
    <col min="1" max="1" width="16.5703125" style="259" customWidth="1"/>
    <col min="2" max="2" width="39.7109375" style="259" customWidth="1"/>
    <col min="3" max="3" width="28" style="259" customWidth="1"/>
    <col min="4" max="4" width="68.42578125" style="259" customWidth="1"/>
    <col min="5" max="5" width="31.5703125" style="259" customWidth="1"/>
    <col min="6" max="6" width="51.85546875" style="259" customWidth="1"/>
    <col min="7" max="7" width="16.42578125" style="259" customWidth="1"/>
    <col min="8" max="8" width="37.28515625" style="259" customWidth="1"/>
    <col min="9" max="9" width="12.140625" style="259" customWidth="1"/>
    <col min="10" max="10" width="6.7109375" style="259" customWidth="1"/>
    <col min="11" max="11" width="34" style="259" customWidth="1"/>
  </cols>
  <sheetData>
    <row r="1" spans="1:11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1">
      <c r="A3" s="281" t="s">
        <v>512</v>
      </c>
      <c r="B3" s="281" t="s">
        <v>593</v>
      </c>
      <c r="C3" s="281" t="s">
        <v>1061</v>
      </c>
      <c r="D3" s="281"/>
      <c r="E3" s="281"/>
      <c r="F3" s="28"/>
      <c r="G3" s="28"/>
      <c r="H3" s="28"/>
      <c r="I3" s="28"/>
      <c r="J3" s="28"/>
      <c r="K3" s="28"/>
    </row>
    <row r="4" spans="1:11">
      <c r="A4" s="258" t="s">
        <v>409</v>
      </c>
      <c r="B4" s="258" t="s">
        <v>410</v>
      </c>
      <c r="C4" s="42" t="s">
        <v>1063</v>
      </c>
      <c r="D4" s="42" t="s">
        <v>2090</v>
      </c>
      <c r="E4" s="281"/>
      <c r="F4" s="28"/>
      <c r="G4" s="28"/>
      <c r="H4" s="28"/>
      <c r="I4" s="28"/>
      <c r="J4" s="28"/>
      <c r="K4" s="28"/>
    </row>
    <row r="5" spans="1:11">
      <c r="A5" s="258" t="s">
        <v>414</v>
      </c>
      <c r="B5" s="16" t="s">
        <v>415</v>
      </c>
      <c r="C5" s="281" t="s">
        <v>1212</v>
      </c>
      <c r="D5" s="42" t="s">
        <v>2091</v>
      </c>
      <c r="E5" s="281"/>
      <c r="F5" s="28"/>
      <c r="G5" s="28"/>
      <c r="H5" s="28"/>
      <c r="I5" s="28"/>
      <c r="J5" s="28"/>
      <c r="K5" s="28"/>
    </row>
    <row r="6" spans="1:11">
      <c r="A6" s="258" t="s">
        <v>414</v>
      </c>
      <c r="B6" s="16" t="s">
        <v>415</v>
      </c>
      <c r="C6" s="281" t="s">
        <v>1305</v>
      </c>
      <c r="D6" s="42" t="s">
        <v>2092</v>
      </c>
      <c r="E6" s="281"/>
      <c r="F6" s="28"/>
      <c r="G6" s="28"/>
      <c r="H6" s="28"/>
      <c r="I6" s="28"/>
      <c r="J6" s="28"/>
      <c r="K6" s="28"/>
    </row>
    <row r="7" spans="1:11">
      <c r="A7" s="16" t="s">
        <v>414</v>
      </c>
      <c r="B7" s="16" t="s">
        <v>422</v>
      </c>
      <c r="C7" s="281" t="s">
        <v>1501</v>
      </c>
      <c r="D7" s="42" t="s">
        <v>2093</v>
      </c>
      <c r="E7" s="281"/>
      <c r="F7" s="28"/>
      <c r="G7" s="28"/>
      <c r="H7" s="28"/>
      <c r="I7" s="28"/>
      <c r="J7" s="28"/>
      <c r="K7" s="28"/>
    </row>
    <row r="8" spans="1:11">
      <c r="A8" s="258" t="s">
        <v>414</v>
      </c>
      <c r="B8" s="16" t="s">
        <v>430</v>
      </c>
      <c r="C8" s="281" t="s">
        <v>1320</v>
      </c>
      <c r="D8" s="42" t="s">
        <v>2094</v>
      </c>
      <c r="E8" s="281" t="s">
        <v>2095</v>
      </c>
      <c r="F8" s="28"/>
      <c r="G8" s="28"/>
      <c r="H8" s="28"/>
      <c r="I8" s="28"/>
      <c r="J8" s="28"/>
      <c r="K8" s="28"/>
    </row>
    <row r="9" spans="1:11">
      <c r="A9" s="16" t="s">
        <v>512</v>
      </c>
      <c r="B9" s="16" t="s">
        <v>624</v>
      </c>
      <c r="C9" s="281" t="s">
        <v>1323</v>
      </c>
      <c r="D9" s="281" t="s">
        <v>2096</v>
      </c>
      <c r="E9" s="281"/>
      <c r="F9" s="28"/>
      <c r="G9" s="28"/>
      <c r="H9" s="28"/>
      <c r="I9" s="28"/>
      <c r="J9" s="28"/>
      <c r="K9" s="28"/>
    </row>
    <row r="10" spans="1:11">
      <c r="A10" s="258" t="s">
        <v>414</v>
      </c>
      <c r="B10" s="16" t="s">
        <v>433</v>
      </c>
      <c r="C10" s="281" t="s">
        <v>1928</v>
      </c>
      <c r="D10" s="42" t="s">
        <v>2097</v>
      </c>
      <c r="E10" s="281" t="s">
        <v>2095</v>
      </c>
      <c r="F10" s="28"/>
      <c r="G10" s="28"/>
      <c r="H10" s="28"/>
      <c r="I10" s="28"/>
      <c r="J10" s="28"/>
      <c r="K10" s="28"/>
    </row>
    <row r="11" spans="1:11">
      <c r="A11" s="258" t="s">
        <v>505</v>
      </c>
      <c r="B11" s="16" t="s">
        <v>525</v>
      </c>
      <c r="C11" s="281" t="s">
        <v>1930</v>
      </c>
      <c r="D11" s="281" t="s">
        <v>2098</v>
      </c>
      <c r="E11" s="281" t="s">
        <v>2099</v>
      </c>
      <c r="F11" s="28"/>
      <c r="G11" s="28"/>
      <c r="H11" s="28"/>
      <c r="I11" s="28"/>
      <c r="J11" s="28"/>
      <c r="K11" s="28"/>
    </row>
    <row r="12" spans="1:11">
      <c r="A12" s="16" t="s">
        <v>512</v>
      </c>
      <c r="B12" s="16" t="s">
        <v>513</v>
      </c>
      <c r="C12" s="28" t="s">
        <v>1510</v>
      </c>
      <c r="D12" s="281" t="s">
        <v>2100</v>
      </c>
      <c r="E12" s="281"/>
      <c r="F12" s="28"/>
      <c r="G12" s="28"/>
      <c r="H12" s="28"/>
      <c r="I12" s="28"/>
      <c r="J12" s="28"/>
      <c r="K12" s="28"/>
    </row>
    <row r="13" spans="1:11">
      <c r="A13" s="28"/>
      <c r="B13" s="28"/>
      <c r="C13" s="28"/>
      <c r="D13" s="28"/>
      <c r="E13" s="281"/>
      <c r="F13" s="28"/>
      <c r="G13" s="28"/>
      <c r="H13" s="28"/>
      <c r="I13" s="28"/>
      <c r="J13" s="28"/>
      <c r="K13" s="28"/>
    </row>
    <row r="14" spans="1:1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>
      <c r="A15" s="34" t="s">
        <v>1058</v>
      </c>
      <c r="B15" s="34" t="s">
        <v>1059</v>
      </c>
      <c r="C15" s="34" t="s">
        <v>1065</v>
      </c>
      <c r="D15" s="34" t="s">
        <v>1066</v>
      </c>
      <c r="E15" s="34" t="s">
        <v>1067</v>
      </c>
      <c r="F15" s="34" t="s">
        <v>1068</v>
      </c>
      <c r="G15" s="34" t="s">
        <v>1069</v>
      </c>
      <c r="H15" s="34" t="s">
        <v>1070</v>
      </c>
      <c r="I15" s="34" t="s">
        <v>1071</v>
      </c>
      <c r="J15" s="34" t="s">
        <v>1072</v>
      </c>
      <c r="K15" s="34" t="s">
        <v>1073</v>
      </c>
    </row>
    <row r="16" spans="1:11">
      <c r="A16" s="13"/>
      <c r="B16" s="18"/>
      <c r="C16" s="13"/>
      <c r="D16" s="239" t="s">
        <v>2062</v>
      </c>
      <c r="E16" s="13"/>
      <c r="F16" s="311" t="s">
        <v>1093</v>
      </c>
      <c r="G16" s="146" t="s">
        <v>75</v>
      </c>
      <c r="H16" s="311" t="s">
        <v>316</v>
      </c>
      <c r="I16" s="16" t="s">
        <v>1327</v>
      </c>
      <c r="J16" s="16">
        <v>40</v>
      </c>
      <c r="K16" s="18"/>
    </row>
    <row r="17" spans="1:13">
      <c r="A17" s="258" t="s">
        <v>512</v>
      </c>
      <c r="B17" s="16" t="s">
        <v>593</v>
      </c>
      <c r="C17" s="258" t="s">
        <v>490</v>
      </c>
      <c r="D17" s="258" t="s">
        <v>2063</v>
      </c>
      <c r="E17" s="258" t="s">
        <v>74</v>
      </c>
      <c r="F17" s="258" t="s">
        <v>1077</v>
      </c>
      <c r="G17" s="146" t="s">
        <v>75</v>
      </c>
      <c r="H17" s="146" t="s">
        <v>1078</v>
      </c>
      <c r="I17" s="16" t="s">
        <v>1079</v>
      </c>
      <c r="J17" s="16">
        <v>32</v>
      </c>
      <c r="K17" s="16" t="s">
        <v>1733</v>
      </c>
      <c r="M17" s="13" t="str">
        <f>"COMMENT ON COLUMN PG_SILVER."&amp;G17&amp;"."&amp;H17&amp;" IS '"&amp;K17&amp;"';"</f>
        <v>COMMENT ON COLUMN PG_SILVER.LOAN_AR_PRFL.AR_ID IS 'Unique key trên DWH';</v>
      </c>
    </row>
    <row r="18" spans="1:13">
      <c r="A18" s="258" t="s">
        <v>512</v>
      </c>
      <c r="B18" s="16" t="s">
        <v>593</v>
      </c>
      <c r="C18" s="258" t="s">
        <v>490</v>
      </c>
      <c r="D18" s="258" t="s">
        <v>1128</v>
      </c>
      <c r="E18" s="258" t="s">
        <v>74</v>
      </c>
      <c r="F18" s="258" t="s">
        <v>928</v>
      </c>
      <c r="G18" s="146" t="s">
        <v>75</v>
      </c>
      <c r="H18" s="146" t="s">
        <v>1082</v>
      </c>
      <c r="I18" s="16" t="s">
        <v>1327</v>
      </c>
      <c r="J18" s="16">
        <v>40</v>
      </c>
      <c r="K18" s="258" t="s">
        <v>249</v>
      </c>
      <c r="M18" s="13" t="str">
        <f>"COMMENT ON COLUMN PG_SILVER."&amp;G18&amp;"."&amp;H18&amp;" IS '"&amp;K18&amp;"';"</f>
        <v>COMMENT ON COLUMN PG_SILVER.LOAN_AR_PRFL.AR_CODE IS 'Mã hợp đồng';</v>
      </c>
    </row>
    <row r="19" spans="1:13">
      <c r="A19" s="258" t="s">
        <v>512</v>
      </c>
      <c r="B19" s="16" t="s">
        <v>593</v>
      </c>
      <c r="C19" s="258" t="s">
        <v>605</v>
      </c>
      <c r="D19" s="258" t="s">
        <v>1128</v>
      </c>
      <c r="E19" s="258" t="s">
        <v>74</v>
      </c>
      <c r="F19" s="258" t="s">
        <v>1546</v>
      </c>
      <c r="G19" s="146" t="s">
        <v>75</v>
      </c>
      <c r="H19" s="146" t="s">
        <v>1545</v>
      </c>
      <c r="I19" s="16" t="s">
        <v>1327</v>
      </c>
      <c r="J19" s="16">
        <v>40</v>
      </c>
      <c r="K19" s="258" t="s">
        <v>900</v>
      </c>
      <c r="M19" s="13" t="str">
        <f>"COMMENT ON COLUMN PG_SILVER."&amp;G19&amp;"."&amp;H19&amp;" IS '"&amp;K19&amp;"';"</f>
        <v>COMMENT ON COLUMN PG_SILVER.LOAN_AR_PRFL.INT_LQD_AR_CODE IS 'Tài khoản thanh toán lãi';</v>
      </c>
    </row>
    <row r="20" spans="1:13">
      <c r="A20" s="258" t="s">
        <v>512</v>
      </c>
      <c r="B20" s="16" t="s">
        <v>593</v>
      </c>
      <c r="C20" s="258" t="s">
        <v>605</v>
      </c>
      <c r="D20" s="258"/>
      <c r="E20" s="258" t="s">
        <v>74</v>
      </c>
      <c r="F20" s="258" t="s">
        <v>2101</v>
      </c>
      <c r="G20" s="146" t="s">
        <v>75</v>
      </c>
      <c r="H20" s="146" t="s">
        <v>2102</v>
      </c>
      <c r="I20" s="16"/>
      <c r="J20" s="16"/>
      <c r="K20" s="258" t="s">
        <v>2103</v>
      </c>
      <c r="M20" s="13" t="str">
        <f>"COMMENT ON COLUMN PG_SILVER."&amp;G20&amp;"."&amp;H20&amp;" IS '"&amp;K20&amp;"';"</f>
        <v>COMMENT ON COLUMN PG_SILVER.LOAN_AR_PRFL.INT_LQD_AR_ID IS 'ID Tài khoản thanh toán lãi';</v>
      </c>
    </row>
    <row r="21" spans="1:13">
      <c r="A21" s="258" t="s">
        <v>512</v>
      </c>
      <c r="B21" s="16" t="s">
        <v>593</v>
      </c>
      <c r="C21" s="258" t="s">
        <v>614</v>
      </c>
      <c r="D21" s="258" t="s">
        <v>1128</v>
      </c>
      <c r="E21" s="258" t="s">
        <v>74</v>
      </c>
      <c r="F21" s="258" t="s">
        <v>2104</v>
      </c>
      <c r="G21" s="146" t="s">
        <v>75</v>
      </c>
      <c r="H21" s="146" t="s">
        <v>2105</v>
      </c>
      <c r="I21" s="16" t="s">
        <v>1327</v>
      </c>
      <c r="J21" s="16">
        <v>40</v>
      </c>
      <c r="K21" s="258" t="s">
        <v>922</v>
      </c>
      <c r="M21" s="13" t="str">
        <f>"COMMENT ON COLUMN PG_SILVER."&amp;G21&amp;"."&amp;H21&amp;" IS '"&amp;K21&amp;"';"</f>
        <v>COMMENT ON COLUMN PG_SILVER.LOAN_AR_PRFL.PNP_LQD_AR_CODE IS 'Tài khoản thanh toán gốc';</v>
      </c>
    </row>
    <row r="22" spans="1:13">
      <c r="A22" s="258" t="s">
        <v>512</v>
      </c>
      <c r="B22" s="16" t="s">
        <v>593</v>
      </c>
      <c r="C22" s="258" t="s">
        <v>614</v>
      </c>
      <c r="D22" s="258"/>
      <c r="E22" s="258" t="s">
        <v>74</v>
      </c>
      <c r="F22" s="258" t="s">
        <v>2106</v>
      </c>
      <c r="G22" s="146" t="s">
        <v>75</v>
      </c>
      <c r="H22" s="146" t="s">
        <v>2107</v>
      </c>
      <c r="I22" s="16"/>
      <c r="J22" s="16"/>
      <c r="K22" s="258" t="s">
        <v>2108</v>
      </c>
      <c r="M22" s="13" t="str">
        <f>"COMMENT ON COLUMN PG_SILVER."&amp;G22&amp;"."&amp;H22&amp;" IS '"&amp;K22&amp;"';"</f>
        <v>COMMENT ON COLUMN PG_SILVER.LOAN_AR_PRFL.PNP_LQD_AR_ID IS 'ID Tài khoản thanh toán gốc';</v>
      </c>
    </row>
    <row r="23" spans="1:13">
      <c r="A23" s="258" t="s">
        <v>512</v>
      </c>
      <c r="B23" s="16" t="s">
        <v>593</v>
      </c>
      <c r="C23" s="258" t="s">
        <v>398</v>
      </c>
      <c r="D23" s="258" t="s">
        <v>1128</v>
      </c>
      <c r="E23" s="258" t="s">
        <v>74</v>
      </c>
      <c r="F23" s="258" t="s">
        <v>930</v>
      </c>
      <c r="G23" s="146" t="s">
        <v>75</v>
      </c>
      <c r="H23" s="146" t="s">
        <v>1524</v>
      </c>
      <c r="I23" s="16" t="s">
        <v>1327</v>
      </c>
      <c r="J23" s="16">
        <v>40</v>
      </c>
      <c r="K23" s="258" t="s">
        <v>929</v>
      </c>
      <c r="M23" s="13" t="str">
        <f>"COMMENT ON COLUMN PG_SILVER."&amp;G23&amp;"."&amp;H23&amp;" IS '"&amp;K23&amp;"';"</f>
        <v>COMMENT ON COLUMN PG_SILVER.LOAN_AR_PRFL.AR_LCS_TP_CODE IS 'Trạng thái';</v>
      </c>
    </row>
    <row r="24" spans="1:13">
      <c r="A24" s="258" t="s">
        <v>512</v>
      </c>
      <c r="B24" s="16" t="s">
        <v>593</v>
      </c>
      <c r="C24" s="258" t="s">
        <v>460</v>
      </c>
      <c r="D24" s="258" t="s">
        <v>1128</v>
      </c>
      <c r="E24" s="258" t="s">
        <v>74</v>
      </c>
      <c r="F24" s="16" t="s">
        <v>750</v>
      </c>
      <c r="G24" s="146" t="s">
        <v>75</v>
      </c>
      <c r="H24" s="146" t="s">
        <v>1358</v>
      </c>
      <c r="I24" s="16" t="s">
        <v>1327</v>
      </c>
      <c r="J24" s="16">
        <v>20</v>
      </c>
      <c r="K24" s="258" t="s">
        <v>882</v>
      </c>
      <c r="M24" s="13" t="str">
        <f>"COMMENT ON COLUMN PG_SILVER."&amp;G24&amp;"."&amp;H24&amp;" IS '"&amp;K24&amp;"';"</f>
        <v>COMMENT ON COLUMN PG_SILVER.LOAN_AR_PRFL.OU_CODE IS 'Mã chi nhánh quản lý hiện tại';</v>
      </c>
    </row>
    <row r="25" spans="1:13">
      <c r="A25" s="258" t="s">
        <v>409</v>
      </c>
      <c r="B25" s="258" t="s">
        <v>410</v>
      </c>
      <c r="C25" s="258" t="s">
        <v>413</v>
      </c>
      <c r="D25" s="16" t="s">
        <v>1128</v>
      </c>
      <c r="E25" s="258" t="s">
        <v>74</v>
      </c>
      <c r="F25" s="258" t="s">
        <v>657</v>
      </c>
      <c r="G25" s="146" t="s">
        <v>75</v>
      </c>
      <c r="H25" s="31" t="s">
        <v>1663</v>
      </c>
      <c r="I25" s="16" t="s">
        <v>1327</v>
      </c>
      <c r="J25" s="16">
        <v>20</v>
      </c>
      <c r="K25" s="258" t="s">
        <v>656</v>
      </c>
      <c r="M25" s="13" t="str">
        <f>"COMMENT ON COLUMN PG_SILVER."&amp;G25&amp;"."&amp;H25&amp;" IS '"&amp;K25&amp;"';"</f>
        <v>COMMENT ON COLUMN PG_SILVER.LOAN_AR_PRFL.MAND_REPYMT IS 'Giá trị UDF';</v>
      </c>
    </row>
    <row r="26" spans="1:13">
      <c r="A26" s="258" t="s">
        <v>414</v>
      </c>
      <c r="B26" s="16" t="s">
        <v>2109</v>
      </c>
      <c r="C26" s="258" t="s">
        <v>418</v>
      </c>
      <c r="D26" s="16" t="s">
        <v>2110</v>
      </c>
      <c r="E26" s="258" t="s">
        <v>74</v>
      </c>
      <c r="F26" s="13" t="s">
        <v>663</v>
      </c>
      <c r="G26" s="146" t="s">
        <v>75</v>
      </c>
      <c r="H26" s="31" t="s">
        <v>1592</v>
      </c>
      <c r="I26" s="16" t="s">
        <v>1106</v>
      </c>
      <c r="J26" s="16">
        <v>20</v>
      </c>
      <c r="K26" s="258" t="s">
        <v>662</v>
      </c>
      <c r="M26" s="13" t="str">
        <f>"COMMENT ON COLUMN PG_SILVER."&amp;G26&amp;"."&amp;H26&amp;" IS '"&amp;K26&amp;"';"</f>
        <v>COMMENT ON COLUMN PG_SILVER.LOAN_AR_PRFL.NBR_OF_DBT_RSTC IS 'Giá trị tương ứng với từng trường';</v>
      </c>
    </row>
    <row r="27" spans="1:13">
      <c r="A27" s="258" t="s">
        <v>414</v>
      </c>
      <c r="B27" s="16" t="s">
        <v>2111</v>
      </c>
      <c r="C27" s="258" t="s">
        <v>418</v>
      </c>
      <c r="D27" s="16" t="s">
        <v>1128</v>
      </c>
      <c r="E27" s="13" t="s">
        <v>74</v>
      </c>
      <c r="F27" s="258" t="s">
        <v>664</v>
      </c>
      <c r="G27" s="146" t="s">
        <v>75</v>
      </c>
      <c r="H27" s="31" t="s">
        <v>354</v>
      </c>
      <c r="I27" s="16" t="s">
        <v>1327</v>
      </c>
      <c r="J27" s="16">
        <v>20</v>
      </c>
      <c r="K27" s="258" t="s">
        <v>662</v>
      </c>
      <c r="M27" s="13" t="str">
        <f>"COMMENT ON COLUMN PG_SILVER."&amp;G27&amp;"."&amp;H27&amp;" IS '"&amp;K27&amp;"';"</f>
        <v>COMMENT ON COLUMN PG_SILVER.LOAN_AR_PRFL.SCR_TP IS 'Giá trị tương ứng với từng trường';</v>
      </c>
    </row>
    <row r="28" spans="1:13">
      <c r="A28" s="16" t="s">
        <v>414</v>
      </c>
      <c r="B28" s="16" t="s">
        <v>422</v>
      </c>
      <c r="C28" s="258" t="s">
        <v>424</v>
      </c>
      <c r="D28" s="16" t="s">
        <v>1128</v>
      </c>
      <c r="E28" s="258" t="s">
        <v>74</v>
      </c>
      <c r="F28" s="258" t="s">
        <v>1657</v>
      </c>
      <c r="G28" s="146" t="s">
        <v>75</v>
      </c>
      <c r="H28" s="31" t="s">
        <v>1656</v>
      </c>
      <c r="I28" s="16" t="s">
        <v>1327</v>
      </c>
      <c r="J28" s="16">
        <v>40</v>
      </c>
      <c r="K28" s="258" t="s">
        <v>2112</v>
      </c>
      <c r="M28" s="13" t="str">
        <f>"COMMENT ON COLUMN PG_SILVER."&amp;G28&amp;"."&amp;H28&amp;" IS '"&amp;K28&amp;"';"</f>
        <v>COMMENT ON COLUMN PG_SILVER.LOAN_AR_PRFL.CAR_AP_CODE IS 'Mã hồ sơ đăng ký vay vốn mua xe?';</v>
      </c>
    </row>
    <row r="29" spans="1:13">
      <c r="A29" s="16" t="s">
        <v>414</v>
      </c>
      <c r="B29" s="16" t="s">
        <v>422</v>
      </c>
      <c r="C29" s="258" t="s">
        <v>425</v>
      </c>
      <c r="D29" s="16" t="s">
        <v>1128</v>
      </c>
      <c r="E29" s="258" t="s">
        <v>74</v>
      </c>
      <c r="F29" s="258" t="s">
        <v>676</v>
      </c>
      <c r="G29" s="146" t="s">
        <v>75</v>
      </c>
      <c r="H29" s="31" t="s">
        <v>1647</v>
      </c>
      <c r="I29" s="16" t="s">
        <v>1327</v>
      </c>
      <c r="J29" s="16">
        <v>40</v>
      </c>
      <c r="K29" s="258" t="s">
        <v>675</v>
      </c>
      <c r="M29" s="13" t="str">
        <f>"COMMENT ON COLUMN PG_SILVER."&amp;G29&amp;"."&amp;H29&amp;" IS '"&amp;K29&amp;"';"</f>
        <v>COMMENT ON COLUMN PG_SILVER.LOAN_AR_PRFL.LOS_CTR_CODE IS 'mã hợp đồng vay';</v>
      </c>
    </row>
    <row r="30" spans="1:13">
      <c r="A30" s="16" t="s">
        <v>414</v>
      </c>
      <c r="B30" s="16" t="s">
        <v>422</v>
      </c>
      <c r="C30" s="258" t="s">
        <v>677</v>
      </c>
      <c r="D30" s="16" t="s">
        <v>1128</v>
      </c>
      <c r="E30" s="258" t="s">
        <v>74</v>
      </c>
      <c r="F30" s="13" t="s">
        <v>679</v>
      </c>
      <c r="G30" s="146" t="s">
        <v>75</v>
      </c>
      <c r="H30" s="31" t="s">
        <v>1649</v>
      </c>
      <c r="I30" s="16" t="s">
        <v>1327</v>
      </c>
      <c r="J30" s="16">
        <v>20</v>
      </c>
      <c r="K30" s="13" t="s">
        <v>678</v>
      </c>
      <c r="M30" s="13" t="str">
        <f>"COMMENT ON COLUMN PG_SILVER."&amp;G30&amp;"."&amp;H30&amp;" IS '"&amp;K30&amp;"';"</f>
        <v>COMMENT ON COLUMN PG_SILVER.LOAN_AR_PRFL.LOS_CTR_ID IS 'mã hồ sơ trên LOS';</v>
      </c>
    </row>
    <row r="31" spans="1:13">
      <c r="A31" s="16" t="s">
        <v>414</v>
      </c>
      <c r="B31" s="16" t="s">
        <v>422</v>
      </c>
      <c r="C31" s="258" t="s">
        <v>705</v>
      </c>
      <c r="D31" s="16" t="s">
        <v>1128</v>
      </c>
      <c r="E31" s="258" t="s">
        <v>74</v>
      </c>
      <c r="F31" s="13" t="s">
        <v>706</v>
      </c>
      <c r="G31" s="146" t="s">
        <v>75</v>
      </c>
      <c r="H31" s="146" t="s">
        <v>1589</v>
      </c>
      <c r="I31" s="16" t="s">
        <v>1327</v>
      </c>
      <c r="J31" s="16">
        <v>20</v>
      </c>
      <c r="K31" s="13" t="s">
        <v>2113</v>
      </c>
      <c r="M31" s="13" t="str">
        <f>"COMMENT ON COLUMN PG_SILVER."&amp;G31&amp;"."&amp;H31&amp;" IS '"&amp;K31&amp;"';"</f>
        <v>COMMENT ON COLUMN PG_SILVER.LOAN_AR_PRFL.DBT_WVR_F IS 'Đánh dấu cơ cấu miễn giảm';</v>
      </c>
    </row>
    <row r="32" spans="1:13">
      <c r="A32" s="16" t="s">
        <v>414</v>
      </c>
      <c r="B32" s="16" t="s">
        <v>422</v>
      </c>
      <c r="C32" s="258" t="s">
        <v>426</v>
      </c>
      <c r="D32" s="16" t="s">
        <v>1128</v>
      </c>
      <c r="E32" s="258" t="s">
        <v>74</v>
      </c>
      <c r="F32" s="258" t="s">
        <v>681</v>
      </c>
      <c r="G32" s="146" t="s">
        <v>75</v>
      </c>
      <c r="H32" s="31" t="s">
        <v>1724</v>
      </c>
      <c r="I32" s="16" t="s">
        <v>1327</v>
      </c>
      <c r="J32" s="16">
        <v>20</v>
      </c>
      <c r="K32" s="258" t="s">
        <v>680</v>
      </c>
      <c r="M32" s="13" t="str">
        <f>"COMMENT ON COLUMN PG_SILVER."&amp;G32&amp;"."&amp;H32&amp;" IS '"&amp;K32&amp;"';"</f>
        <v>COMMENT ON COLUMN PG_SILVER.LOAN_AR_PRFL.AR_PPS_BY_IDY IS 'Mục đích vay theo ngành kinh tế';</v>
      </c>
    </row>
    <row r="33" spans="1:13">
      <c r="A33" s="47" t="s">
        <v>414</v>
      </c>
      <c r="B33" s="47" t="s">
        <v>422</v>
      </c>
      <c r="C33" s="46" t="s">
        <v>427</v>
      </c>
      <c r="D33" s="47" t="s">
        <v>1128</v>
      </c>
      <c r="E33" s="46" t="s">
        <v>74</v>
      </c>
      <c r="F33" s="46" t="s">
        <v>1595</v>
      </c>
      <c r="G33" s="146" t="s">
        <v>75</v>
      </c>
      <c r="H33" s="31" t="s">
        <v>1596</v>
      </c>
      <c r="I33" s="16" t="s">
        <v>1327</v>
      </c>
      <c r="J33" s="16">
        <v>20</v>
      </c>
      <c r="K33" s="258" t="s">
        <v>682</v>
      </c>
      <c r="M33" s="13" t="str">
        <f>"COMMENT ON COLUMN PG_SILVER."&amp;G33&amp;"."&amp;H33&amp;" IS '"&amp;K33&amp;"';"</f>
        <v>COMMENT ON COLUMN PG_SILVER.LOAN_AR_PRFL.AR_PPS_BY_PD IS 'Mục đích vay theo sản phẩm';</v>
      </c>
    </row>
    <row r="34" spans="1:13">
      <c r="A34" s="16" t="s">
        <v>414</v>
      </c>
      <c r="B34" s="16" t="s">
        <v>422</v>
      </c>
      <c r="C34" s="258" t="s">
        <v>423</v>
      </c>
      <c r="D34" s="16" t="s">
        <v>1128</v>
      </c>
      <c r="E34" s="258" t="s">
        <v>74</v>
      </c>
      <c r="F34" s="258" t="s">
        <v>671</v>
      </c>
      <c r="G34" s="146" t="s">
        <v>75</v>
      </c>
      <c r="H34" s="31" t="s">
        <v>1576</v>
      </c>
      <c r="I34" s="16" t="s">
        <v>1327</v>
      </c>
      <c r="J34" s="16">
        <v>40</v>
      </c>
      <c r="K34" s="258" t="s">
        <v>669</v>
      </c>
      <c r="M34" s="13" t="str">
        <f>"COMMENT ON COLUMN PG_SILVER."&amp;G34&amp;"."&amp;H34&amp;" IS '"&amp;K34&amp;"';"</f>
        <v>COMMENT ON COLUMN PG_SILVER.LOAN_AR_PRFL.DSBR_PRPSL_OFCR IS 'Cán bộ đề xuất giải ngân';</v>
      </c>
    </row>
    <row r="35" spans="1:13">
      <c r="A35" s="16" t="s">
        <v>414</v>
      </c>
      <c r="B35" s="16" t="s">
        <v>422</v>
      </c>
      <c r="C35" s="258" t="s">
        <v>429</v>
      </c>
      <c r="D35" s="16" t="s">
        <v>1128</v>
      </c>
      <c r="E35" s="258" t="s">
        <v>74</v>
      </c>
      <c r="F35" s="258" t="s">
        <v>686</v>
      </c>
      <c r="G35" s="146" t="s">
        <v>75</v>
      </c>
      <c r="H35" s="31" t="s">
        <v>1578</v>
      </c>
      <c r="I35" s="16" t="s">
        <v>1327</v>
      </c>
      <c r="J35" s="16">
        <v>40</v>
      </c>
      <c r="K35" s="258" t="s">
        <v>685</v>
      </c>
      <c r="M35" s="13" t="str">
        <f>"COMMENT ON COLUMN PG_SILVER."&amp;G35&amp;"."&amp;H35&amp;" IS '"&amp;K35&amp;"';"</f>
        <v>COMMENT ON COLUMN PG_SILVER.LOAN_AR_PRFL.DSBR_PRPSL_MGR IS 'Người đề xuất giải ngân';</v>
      </c>
    </row>
    <row r="36" spans="1:13">
      <c r="A36" s="16" t="s">
        <v>414</v>
      </c>
      <c r="B36" s="16" t="s">
        <v>422</v>
      </c>
      <c r="C36" s="285" t="s">
        <v>699</v>
      </c>
      <c r="D36" s="16" t="s">
        <v>1128</v>
      </c>
      <c r="E36" s="258" t="s">
        <v>74</v>
      </c>
      <c r="F36" s="285" t="s">
        <v>700</v>
      </c>
      <c r="G36" s="146" t="s">
        <v>75</v>
      </c>
      <c r="H36" s="146" t="s">
        <v>1580</v>
      </c>
      <c r="I36" s="16" t="s">
        <v>1327</v>
      </c>
      <c r="J36" s="16">
        <v>40</v>
      </c>
      <c r="K36" s="285" t="s">
        <v>1581</v>
      </c>
      <c r="M36" s="13" t="str">
        <f>"COMMENT ON COLUMN PG_SILVER."&amp;G36&amp;"."&amp;H36&amp;" IS '"&amp;K36&amp;"';"</f>
        <v>COMMENT ON COLUMN PG_SILVER.LOAN_AR_PRFL.MGT_OFCR IS 'Cán bộ quản lý khoản vay';</v>
      </c>
    </row>
    <row r="37" spans="1:13">
      <c r="A37" s="16" t="s">
        <v>414</v>
      </c>
      <c r="B37" s="16" t="s">
        <v>422</v>
      </c>
      <c r="C37" s="285" t="s">
        <v>701</v>
      </c>
      <c r="D37" s="16" t="s">
        <v>1128</v>
      </c>
      <c r="E37" s="258" t="s">
        <v>74</v>
      </c>
      <c r="F37" s="285" t="s">
        <v>702</v>
      </c>
      <c r="G37" s="146" t="s">
        <v>75</v>
      </c>
      <c r="H37" s="146" t="s">
        <v>1583</v>
      </c>
      <c r="I37" s="16" t="s">
        <v>1327</v>
      </c>
      <c r="J37" s="16">
        <v>40</v>
      </c>
      <c r="K37" s="285" t="s">
        <v>1584</v>
      </c>
      <c r="M37" s="13" t="str">
        <f>"COMMENT ON COLUMN PG_SILVER."&amp;G37&amp;"."&amp;H37&amp;" IS '"&amp;K37&amp;"';"</f>
        <v>COMMENT ON COLUMN PG_SILVER.LOAN_AR_PRFL.MGT_MGR IS 'Người quản lý khoản vay';</v>
      </c>
    </row>
    <row r="38" spans="1:13">
      <c r="A38" s="16" t="s">
        <v>414</v>
      </c>
      <c r="B38" s="16" t="s">
        <v>422</v>
      </c>
      <c r="C38" s="285" t="s">
        <v>703</v>
      </c>
      <c r="D38" s="16" t="s">
        <v>1128</v>
      </c>
      <c r="E38" s="258" t="s">
        <v>74</v>
      </c>
      <c r="F38" s="285" t="s">
        <v>704</v>
      </c>
      <c r="G38" s="146" t="s">
        <v>75</v>
      </c>
      <c r="H38" s="146" t="s">
        <v>1586</v>
      </c>
      <c r="I38" s="16" t="s">
        <v>1327</v>
      </c>
      <c r="J38" s="16">
        <v>1000</v>
      </c>
      <c r="K38" s="285" t="s">
        <v>1587</v>
      </c>
      <c r="M38" s="13" t="str">
        <f>"COMMENT ON COLUMN PG_SILVER."&amp;G38&amp;"."&amp;H38&amp;" IS '"&amp;K38&amp;"';"</f>
        <v>COMMENT ON COLUMN PG_SILVER.LOAN_AR_PRFL.APRV_AHR IS 'Cấp phê duyệt giải ngân';</v>
      </c>
    </row>
    <row r="39" spans="1:13">
      <c r="A39" s="16" t="s">
        <v>414</v>
      </c>
      <c r="B39" s="16" t="s">
        <v>593</v>
      </c>
      <c r="C39" s="285" t="s">
        <v>596</v>
      </c>
      <c r="D39" s="16" t="s">
        <v>1128</v>
      </c>
      <c r="E39" s="258" t="s">
        <v>74</v>
      </c>
      <c r="F39" s="285" t="s">
        <v>854</v>
      </c>
      <c r="G39" s="146" t="s">
        <v>75</v>
      </c>
      <c r="H39" s="146" t="s">
        <v>1353</v>
      </c>
      <c r="I39" s="16" t="s">
        <v>1327</v>
      </c>
      <c r="J39" s="16">
        <v>40</v>
      </c>
      <c r="K39" s="285" t="s">
        <v>881</v>
      </c>
      <c r="M39" s="13" t="str">
        <f>"COMMENT ON COLUMN PG_SILVER."&amp;G39&amp;"."&amp;H39&amp;" IS '"&amp;K39&amp;"';"</f>
        <v>COMMENT ON COLUMN PG_SILVER.LOAN_AR_PRFL.CHKER_OFCR IS 'Mã người phê duyệt';</v>
      </c>
    </row>
    <row r="40" spans="1:13">
      <c r="A40" s="16" t="s">
        <v>414</v>
      </c>
      <c r="B40" s="16" t="s">
        <v>593</v>
      </c>
      <c r="C40" s="285" t="s">
        <v>604</v>
      </c>
      <c r="D40" s="16" t="s">
        <v>1128</v>
      </c>
      <c r="E40" s="258" t="s">
        <v>74</v>
      </c>
      <c r="F40" s="285" t="s">
        <v>772</v>
      </c>
      <c r="G40" s="146" t="s">
        <v>75</v>
      </c>
      <c r="H40" s="146" t="s">
        <v>1377</v>
      </c>
      <c r="I40" s="16" t="s">
        <v>1327</v>
      </c>
      <c r="J40" s="16">
        <v>40</v>
      </c>
      <c r="K40" s="285" t="s">
        <v>899</v>
      </c>
      <c r="M40" s="13" t="str">
        <f>"COMMENT ON COLUMN PG_SILVER."&amp;G40&amp;"."&amp;H40&amp;" IS '"&amp;K40&amp;"';"</f>
        <v>COMMENT ON COLUMN PG_SILVER.LOAN_AR_PRFL.MAKER_OFCR IS 'ID người nhập liệu';</v>
      </c>
    </row>
    <row r="41" spans="1:13">
      <c r="A41" s="16" t="s">
        <v>414</v>
      </c>
      <c r="B41" s="16" t="s">
        <v>593</v>
      </c>
      <c r="C41" s="285" t="s">
        <v>557</v>
      </c>
      <c r="D41" s="16" t="s">
        <v>1128</v>
      </c>
      <c r="E41" s="258" t="s">
        <v>74</v>
      </c>
      <c r="F41" s="285" t="s">
        <v>917</v>
      </c>
      <c r="G41" s="146" t="s">
        <v>75</v>
      </c>
      <c r="H41" s="146" t="s">
        <v>2114</v>
      </c>
      <c r="I41" s="16" t="s">
        <v>1327</v>
      </c>
      <c r="J41" s="16">
        <v>40</v>
      </c>
      <c r="K41" s="285" t="s">
        <v>916</v>
      </c>
      <c r="M41" s="13" t="str">
        <f>"COMMENT ON COLUMN PG_SILVER."&amp;G41&amp;"."&amp;H41&amp;" IS '"&amp;K41&amp;"';"</f>
        <v>COMMENT ON COLUMN PG_SILVER.LOAN_AR_PRFL.REFRRER_OFCR IS 'ID nhân viên giới thiệu';</v>
      </c>
    </row>
    <row r="42" spans="1:13">
      <c r="A42" s="258"/>
      <c r="B42" s="16" t="s">
        <v>2115</v>
      </c>
      <c r="C42" s="258"/>
      <c r="D42" s="41" t="s">
        <v>2116</v>
      </c>
      <c r="E42" s="258" t="s">
        <v>74</v>
      </c>
      <c r="F42" s="258" t="s">
        <v>711</v>
      </c>
      <c r="G42" s="146" t="s">
        <v>75</v>
      </c>
      <c r="H42" s="31" t="s">
        <v>1668</v>
      </c>
      <c r="I42" s="16" t="s">
        <v>1327</v>
      </c>
      <c r="J42" s="16">
        <v>20</v>
      </c>
      <c r="K42" s="258" t="s">
        <v>710</v>
      </c>
      <c r="M42" s="13" t="str">
        <f>"COMMENT ON COLUMN PG_SILVER."&amp;G42&amp;"."&amp;H42&amp;" IS '"&amp;K42&amp;"';"</f>
        <v>COMMENT ON COLUMN PG_SILVER.LOAN_AR_PRFL.PROM_PRGM IS 'Mã chương trình KM cho vay';</v>
      </c>
    </row>
    <row r="43" spans="1:13">
      <c r="A43" s="258"/>
      <c r="B43" s="16" t="s">
        <v>2115</v>
      </c>
      <c r="C43" s="258"/>
      <c r="D43" s="310" t="s">
        <v>2117</v>
      </c>
      <c r="E43" s="258" t="s">
        <v>74</v>
      </c>
      <c r="F43" s="258" t="s">
        <v>713</v>
      </c>
      <c r="G43" s="146" t="s">
        <v>75</v>
      </c>
      <c r="H43" s="31" t="s">
        <v>1671</v>
      </c>
      <c r="I43" s="16" t="s">
        <v>1327</v>
      </c>
      <c r="J43" s="16">
        <v>20</v>
      </c>
      <c r="K43" s="258" t="s">
        <v>712</v>
      </c>
      <c r="M43" s="13" t="str">
        <f>"COMMENT ON COLUMN PG_SILVER."&amp;G43&amp;"."&amp;H43&amp;" IS '"&amp;K43&amp;"';"</f>
        <v>COMMENT ON COLUMN PG_SILVER.LOAN_AR_PRFL.PROM_PRGM_2 IS 'Mã CTKM2';</v>
      </c>
    </row>
    <row r="44" spans="1:13">
      <c r="A44" s="258" t="s">
        <v>414</v>
      </c>
      <c r="B44" s="16" t="s">
        <v>433</v>
      </c>
      <c r="C44" s="258" t="s">
        <v>434</v>
      </c>
      <c r="D44" s="16" t="s">
        <v>1128</v>
      </c>
      <c r="E44" s="258" t="s">
        <v>74</v>
      </c>
      <c r="F44" s="258" t="s">
        <v>722</v>
      </c>
      <c r="G44" s="146" t="s">
        <v>75</v>
      </c>
      <c r="H44" s="31" t="s">
        <v>1651</v>
      </c>
      <c r="I44" s="16" t="s">
        <v>1327</v>
      </c>
      <c r="J44" s="16">
        <v>20</v>
      </c>
      <c r="K44" s="258" t="s">
        <v>720</v>
      </c>
      <c r="M44" s="13" t="str">
        <f>"COMMENT ON COLUMN PG_SILVER."&amp;G44&amp;"."&amp;H44&amp;" IS '"&amp;K44&amp;"';"</f>
        <v>COMMENT ON COLUMN PG_SILVER.LOAN_AR_PRFL.DBT_RSTC_TP_CODE IS 'Cơ cấu nợ';</v>
      </c>
    </row>
    <row r="45" spans="1:13">
      <c r="A45" s="258" t="s">
        <v>414</v>
      </c>
      <c r="B45" s="16" t="s">
        <v>433</v>
      </c>
      <c r="C45" s="258" t="s">
        <v>435</v>
      </c>
      <c r="D45" s="16" t="s">
        <v>1128</v>
      </c>
      <c r="E45" s="258" t="s">
        <v>74</v>
      </c>
      <c r="F45" s="258" t="s">
        <v>724</v>
      </c>
      <c r="G45" s="146" t="s">
        <v>75</v>
      </c>
      <c r="H45" s="31" t="s">
        <v>1674</v>
      </c>
      <c r="I45" s="16" t="s">
        <v>519</v>
      </c>
      <c r="J45" s="16"/>
      <c r="K45" s="258" t="s">
        <v>723</v>
      </c>
      <c r="M45" s="13" t="str">
        <f>"COMMENT ON COLUMN PG_SILVER."&amp;G45&amp;"."&amp;H45&amp;" IS '"&amp;K45&amp;"';"</f>
        <v>COMMENT ON COLUMN PG_SILVER.LOAN_AR_PRFL.COVID19_RSTC_COMPL_DT IS 'Ngày hết covid/ Ngày hết hạn cơ cấu';</v>
      </c>
    </row>
    <row r="46" spans="1:13">
      <c r="A46" s="258" t="s">
        <v>505</v>
      </c>
      <c r="B46" s="16" t="s">
        <v>525</v>
      </c>
      <c r="C46" s="258" t="s">
        <v>522</v>
      </c>
      <c r="D46" s="16" t="s">
        <v>1128</v>
      </c>
      <c r="E46" s="258" t="s">
        <v>74</v>
      </c>
      <c r="F46" s="13" t="s">
        <v>1486</v>
      </c>
      <c r="G46" s="146" t="s">
        <v>75</v>
      </c>
      <c r="H46" s="31" t="s">
        <v>1485</v>
      </c>
      <c r="I46" s="16" t="s">
        <v>1327</v>
      </c>
      <c r="J46" s="16">
        <v>20</v>
      </c>
      <c r="K46" s="258" t="s">
        <v>758</v>
      </c>
      <c r="M46" s="13" t="str">
        <f>"COMMENT ON COLUMN PG_SILVER."&amp;G46&amp;"."&amp;H46&amp;" IS '"&amp;K46&amp;"';"</f>
        <v>COMMENT ON COLUMN PG_SILVER.LOAN_AR_PRFL.GL_ITM_CODE IS 'Mã hạch toán theo SBV';</v>
      </c>
    </row>
    <row r="47" spans="1:13">
      <c r="A47" s="258" t="s">
        <v>505</v>
      </c>
      <c r="B47" s="16" t="s">
        <v>525</v>
      </c>
      <c r="C47" s="258" t="s">
        <v>522</v>
      </c>
      <c r="D47" s="16"/>
      <c r="E47" s="258" t="s">
        <v>74</v>
      </c>
      <c r="F47" s="16" t="s">
        <v>2118</v>
      </c>
      <c r="G47" s="146" t="s">
        <v>75</v>
      </c>
      <c r="H47" s="31" t="s">
        <v>2119</v>
      </c>
      <c r="I47" s="16"/>
      <c r="J47" s="16"/>
      <c r="K47" s="258" t="s">
        <v>2120</v>
      </c>
      <c r="M47" s="13" t="str">
        <f>"COMMENT ON COLUMN PG_SILVER."&amp;G47&amp;"."&amp;H47&amp;" IS '"&amp;K47&amp;"';"</f>
        <v>COMMENT ON COLUMN PG_SILVER.LOAN_AR_PRFL.GL_ITM_ID IS 'ID Mã hạch toán theo SBV';</v>
      </c>
    </row>
    <row r="48" spans="1:13">
      <c r="A48" s="16"/>
      <c r="B48" s="16"/>
      <c r="C48" s="16"/>
      <c r="D48" s="247" t="s">
        <v>2121</v>
      </c>
      <c r="E48" s="258" t="s">
        <v>74</v>
      </c>
      <c r="F48" s="23" t="s">
        <v>948</v>
      </c>
      <c r="G48" s="248" t="s">
        <v>75</v>
      </c>
      <c r="H48" s="249" t="s">
        <v>1528</v>
      </c>
      <c r="I48" s="16" t="s">
        <v>1327</v>
      </c>
      <c r="J48" s="16">
        <v>20</v>
      </c>
      <c r="K48" s="16" t="s">
        <v>962</v>
      </c>
      <c r="M48" s="13" t="str">
        <f>"COMMENT ON COLUMN PG_SILVER."&amp;G48&amp;"."&amp;H48&amp;" IS '"&amp;K48&amp;"';"</f>
        <v>COMMENT ON COLUMN PG_SILVER.LOAN_AR_PRFL.FNC_ST_CODE IS 'Nhóm nợ hợp đồng';</v>
      </c>
    </row>
    <row r="49" spans="1:13">
      <c r="A49" s="16"/>
      <c r="B49" s="16"/>
      <c r="C49" s="16"/>
      <c r="D49" s="16" t="s">
        <v>2122</v>
      </c>
      <c r="E49" s="258" t="s">
        <v>74</v>
      </c>
      <c r="F49" s="16" t="s">
        <v>1290</v>
      </c>
      <c r="G49" s="146" t="s">
        <v>75</v>
      </c>
      <c r="H49" s="16" t="s">
        <v>1291</v>
      </c>
      <c r="I49" s="16" t="s">
        <v>519</v>
      </c>
      <c r="J49" s="16">
        <v>8</v>
      </c>
      <c r="K49" s="16" t="s">
        <v>1292</v>
      </c>
      <c r="M49" s="13" t="str">
        <f>"COMMENT ON COLUMN PG_SILVER."&amp;G49&amp;"."&amp;H49&amp;" IS '"&amp;K49&amp;"';"</f>
        <v>COMMENT ON COLUMN PG_SILVER.LOAN_AR_PRFL.SYS_EFF_DT IS 'Ngày bản ghi lần đầu tiên vào hệ thống';</v>
      </c>
    </row>
    <row r="50" spans="1:13">
      <c r="A50" s="16"/>
      <c r="B50" s="16"/>
      <c r="C50" s="16"/>
      <c r="D50" s="16" t="s">
        <v>1293</v>
      </c>
      <c r="E50" s="258" t="s">
        <v>74</v>
      </c>
      <c r="F50" s="16" t="s">
        <v>1294</v>
      </c>
      <c r="G50" s="146" t="s">
        <v>75</v>
      </c>
      <c r="H50" s="16" t="s">
        <v>1295</v>
      </c>
      <c r="I50" s="16" t="s">
        <v>519</v>
      </c>
      <c r="J50" s="16">
        <v>8</v>
      </c>
      <c r="K50" s="16" t="s">
        <v>1296</v>
      </c>
      <c r="M50" s="13" t="str">
        <f>"COMMENT ON COLUMN PG_SILVER."&amp;G50&amp;"."&amp;H50&amp;" IS '"&amp;K50&amp;"';"</f>
        <v>COMMENT ON COLUMN PG_SILVER.LOAN_AR_PRFL.SYS_EXP_DT IS 'Ngày hết hạn của bản ghi';</v>
      </c>
    </row>
    <row r="51" spans="1:13">
      <c r="A51" s="16"/>
      <c r="B51" s="16"/>
      <c r="C51" s="16"/>
      <c r="D51" s="16" t="s">
        <v>1297</v>
      </c>
      <c r="E51" s="258" t="s">
        <v>74</v>
      </c>
      <c r="F51" s="16" t="s">
        <v>1298</v>
      </c>
      <c r="G51" s="146" t="s">
        <v>75</v>
      </c>
      <c r="H51" s="16" t="s">
        <v>1299</v>
      </c>
      <c r="I51" s="16" t="s">
        <v>519</v>
      </c>
      <c r="J51" s="16">
        <v>8</v>
      </c>
      <c r="K51" s="16" t="s">
        <v>1300</v>
      </c>
      <c r="M51" s="13" t="str">
        <f>"COMMENT ON COLUMN PG_SILVER."&amp;G51&amp;"."&amp;H51&amp;" IS '"&amp;K51&amp;"';"</f>
        <v>COMMENT ON COLUMN PG_SILVER.LOAN_AR_PRFL.SYS_UDT_DT IS 'Ngày update dữ liệu gần nhất';</v>
      </c>
    </row>
    <row r="53" spans="1:13">
      <c r="A53" s="230" t="s">
        <v>1433</v>
      </c>
      <c r="B53" s="230" t="s">
        <v>2123</v>
      </c>
      <c r="C53" s="230"/>
      <c r="D53" s="230"/>
      <c r="E53" s="230"/>
      <c r="F53" s="230"/>
      <c r="G53" s="230"/>
      <c r="H53" s="230"/>
      <c r="I53" s="230"/>
      <c r="J53" s="230"/>
      <c r="K53" s="230"/>
    </row>
    <row r="54" spans="1:13">
      <c r="A54" s="34" t="s">
        <v>1058</v>
      </c>
      <c r="B54" s="34" t="s">
        <v>1059</v>
      </c>
      <c r="C54" s="34"/>
      <c r="D54" s="34" t="s">
        <v>1060</v>
      </c>
      <c r="E54" s="34"/>
      <c r="F54" s="34"/>
      <c r="G54" s="34"/>
      <c r="H54" s="34"/>
      <c r="I54" s="34"/>
      <c r="J54" s="34"/>
      <c r="K54" s="34"/>
    </row>
    <row r="55" spans="1:13">
      <c r="A55" s="281" t="s">
        <v>512</v>
      </c>
      <c r="B55" s="281" t="s">
        <v>2124</v>
      </c>
      <c r="C55" s="281" t="s">
        <v>1061</v>
      </c>
      <c r="D55" s="42" t="s">
        <v>2125</v>
      </c>
      <c r="E55" s="281"/>
      <c r="F55" s="28"/>
      <c r="G55" s="28"/>
      <c r="H55" s="28"/>
      <c r="I55" s="28"/>
      <c r="J55" s="28"/>
      <c r="K55" s="28"/>
    </row>
    <row r="56" spans="1:13">
      <c r="A56" s="258" t="s">
        <v>409</v>
      </c>
      <c r="B56" s="258" t="s">
        <v>410</v>
      </c>
      <c r="C56" s="42" t="s">
        <v>1063</v>
      </c>
      <c r="D56" s="42" t="s">
        <v>2126</v>
      </c>
      <c r="E56" s="281"/>
      <c r="F56" s="28"/>
      <c r="G56" s="28"/>
      <c r="H56" s="28"/>
      <c r="I56" s="28"/>
      <c r="J56" s="28"/>
      <c r="K56" s="28"/>
    </row>
    <row r="57" spans="1:13">
      <c r="A57" s="258" t="s">
        <v>414</v>
      </c>
      <c r="B57" s="16" t="s">
        <v>415</v>
      </c>
      <c r="C57" s="281" t="s">
        <v>1212</v>
      </c>
      <c r="D57" s="42" t="s">
        <v>2091</v>
      </c>
      <c r="E57" s="281"/>
      <c r="F57" s="28"/>
      <c r="G57" s="28"/>
      <c r="H57" s="28"/>
      <c r="I57" s="28"/>
      <c r="J57" s="28"/>
      <c r="K57" s="28"/>
    </row>
    <row r="58" spans="1:13">
      <c r="A58" s="258" t="s">
        <v>414</v>
      </c>
      <c r="B58" s="16" t="s">
        <v>415</v>
      </c>
      <c r="C58" s="281" t="s">
        <v>1305</v>
      </c>
      <c r="D58" s="42" t="s">
        <v>2092</v>
      </c>
      <c r="E58" s="281"/>
      <c r="F58" s="28"/>
      <c r="G58" s="28"/>
      <c r="H58" s="28"/>
      <c r="I58" s="28"/>
      <c r="J58" s="28"/>
      <c r="K58" s="28"/>
    </row>
    <row r="59" spans="1:13">
      <c r="A59" s="16" t="s">
        <v>414</v>
      </c>
      <c r="B59" s="16" t="s">
        <v>422</v>
      </c>
      <c r="C59" s="281" t="s">
        <v>1501</v>
      </c>
      <c r="D59" s="42" t="s">
        <v>2127</v>
      </c>
      <c r="E59" s="281"/>
      <c r="F59" s="28"/>
      <c r="G59" s="28"/>
      <c r="H59" s="28"/>
      <c r="I59" s="28"/>
      <c r="J59" s="28"/>
      <c r="K59" s="28"/>
    </row>
    <row r="60" spans="1:13">
      <c r="A60" s="258" t="s">
        <v>414</v>
      </c>
      <c r="B60" s="16" t="s">
        <v>430</v>
      </c>
      <c r="C60" s="281" t="s">
        <v>1320</v>
      </c>
      <c r="D60" s="281" t="s">
        <v>2128</v>
      </c>
      <c r="E60" s="281"/>
      <c r="F60" s="28"/>
      <c r="G60" s="28"/>
      <c r="H60" s="28"/>
      <c r="I60" s="28"/>
      <c r="J60" s="28"/>
      <c r="K60" s="28"/>
    </row>
    <row r="61" spans="1:13">
      <c r="A61" s="16" t="s">
        <v>512</v>
      </c>
      <c r="B61" s="16" t="s">
        <v>624</v>
      </c>
      <c r="C61" s="281" t="s">
        <v>1323</v>
      </c>
      <c r="D61" s="281" t="s">
        <v>2129</v>
      </c>
      <c r="E61" s="281"/>
      <c r="F61" s="28"/>
      <c r="G61" s="28"/>
      <c r="H61" s="28"/>
      <c r="I61" s="28"/>
      <c r="J61" s="28"/>
      <c r="K61" s="28"/>
    </row>
    <row r="62" spans="1:13">
      <c r="A62" s="258" t="s">
        <v>414</v>
      </c>
      <c r="B62" s="16" t="s">
        <v>433</v>
      </c>
      <c r="C62" s="281" t="s">
        <v>1928</v>
      </c>
      <c r="D62" s="281" t="s">
        <v>2097</v>
      </c>
      <c r="E62" s="281"/>
      <c r="F62" s="28"/>
      <c r="G62" s="28"/>
      <c r="H62" s="28"/>
      <c r="I62" s="28"/>
      <c r="J62" s="28"/>
      <c r="K62" s="28"/>
    </row>
    <row r="63" spans="1:13">
      <c r="A63" s="258" t="s">
        <v>505</v>
      </c>
      <c r="B63" s="16" t="s">
        <v>525</v>
      </c>
      <c r="C63" s="281" t="s">
        <v>1930</v>
      </c>
      <c r="D63" s="42" t="s">
        <v>2130</v>
      </c>
      <c r="E63" s="281" t="s">
        <v>2099</v>
      </c>
      <c r="F63" s="28"/>
      <c r="G63" s="28"/>
      <c r="H63" s="28"/>
      <c r="I63" s="28"/>
      <c r="J63" s="28"/>
      <c r="K63" s="28"/>
    </row>
    <row r="64" spans="1:13">
      <c r="A64" s="16" t="s">
        <v>512</v>
      </c>
      <c r="B64" s="16" t="s">
        <v>513</v>
      </c>
      <c r="C64" s="28" t="s">
        <v>1510</v>
      </c>
      <c r="D64" s="281" t="s">
        <v>2100</v>
      </c>
      <c r="E64" s="281"/>
      <c r="F64" s="28"/>
      <c r="G64" s="28"/>
      <c r="H64" s="28"/>
      <c r="I64" s="28"/>
      <c r="J64" s="28"/>
      <c r="K64" s="28"/>
    </row>
    <row r="65" spans="1:29">
      <c r="A65" s="306"/>
      <c r="B65" s="306"/>
      <c r="C65" s="306"/>
      <c r="D65" s="306"/>
      <c r="E65" s="306"/>
      <c r="F65" s="306"/>
      <c r="G65" s="230"/>
      <c r="H65" s="230"/>
      <c r="I65" s="230"/>
      <c r="J65" s="230"/>
      <c r="K65" s="230"/>
    </row>
    <row r="66" spans="1:29">
      <c r="A66" s="34" t="s">
        <v>1058</v>
      </c>
      <c r="B66" s="34" t="s">
        <v>1059</v>
      </c>
      <c r="C66" s="34" t="s">
        <v>1065</v>
      </c>
      <c r="D66" s="34" t="s">
        <v>1066</v>
      </c>
      <c r="E66" s="34" t="s">
        <v>1067</v>
      </c>
      <c r="F66" s="34" t="s">
        <v>1068</v>
      </c>
      <c r="G66" s="34" t="s">
        <v>1069</v>
      </c>
      <c r="H66" s="34" t="s">
        <v>1070</v>
      </c>
      <c r="I66" s="34" t="s">
        <v>1071</v>
      </c>
      <c r="J66" s="34" t="s">
        <v>1072</v>
      </c>
      <c r="K66" s="34" t="s">
        <v>1073</v>
      </c>
    </row>
    <row r="67" spans="1:29">
      <c r="A67" s="13"/>
      <c r="B67" s="18"/>
      <c r="C67" s="13"/>
      <c r="D67" s="239" t="s">
        <v>2081</v>
      </c>
      <c r="E67" s="13"/>
      <c r="F67" s="311" t="s">
        <v>1093</v>
      </c>
      <c r="G67" s="146" t="s">
        <v>75</v>
      </c>
      <c r="H67" s="311" t="s">
        <v>316</v>
      </c>
      <c r="I67" s="17" t="s">
        <v>1327</v>
      </c>
      <c r="J67" s="17">
        <v>40</v>
      </c>
      <c r="K67" s="250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>
      <c r="A68" s="16" t="s">
        <v>512</v>
      </c>
      <c r="B68" s="16" t="s">
        <v>620</v>
      </c>
      <c r="C68" s="258" t="s">
        <v>490</v>
      </c>
      <c r="D68" s="258" t="s">
        <v>2131</v>
      </c>
      <c r="E68" s="258" t="s">
        <v>74</v>
      </c>
      <c r="F68" s="258" t="s">
        <v>1077</v>
      </c>
      <c r="G68" s="146" t="s">
        <v>75</v>
      </c>
      <c r="H68" s="146" t="s">
        <v>1078</v>
      </c>
      <c r="I68" s="17" t="s">
        <v>1079</v>
      </c>
      <c r="J68" s="17">
        <v>32</v>
      </c>
      <c r="K68" s="17" t="s">
        <v>1733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>
      <c r="A69" s="16" t="s">
        <v>512</v>
      </c>
      <c r="B69" s="16" t="s">
        <v>620</v>
      </c>
      <c r="C69" s="258" t="s">
        <v>490</v>
      </c>
      <c r="D69" s="258" t="s">
        <v>2132</v>
      </c>
      <c r="E69" s="258" t="s">
        <v>74</v>
      </c>
      <c r="F69" s="258" t="s">
        <v>928</v>
      </c>
      <c r="G69" s="146" t="s">
        <v>75</v>
      </c>
      <c r="H69" s="146" t="s">
        <v>1082</v>
      </c>
      <c r="I69" s="17" t="s">
        <v>1327</v>
      </c>
      <c r="J69" s="17">
        <v>40</v>
      </c>
      <c r="K69" s="280" t="s">
        <v>249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>
      <c r="A70" s="16" t="s">
        <v>512</v>
      </c>
      <c r="B70" s="16" t="s">
        <v>620</v>
      </c>
      <c r="C70" s="258" t="s">
        <v>605</v>
      </c>
      <c r="D70" s="258" t="s">
        <v>1128</v>
      </c>
      <c r="E70" s="258" t="s">
        <v>74</v>
      </c>
      <c r="F70" s="258" t="s">
        <v>1546</v>
      </c>
      <c r="G70" s="146" t="s">
        <v>75</v>
      </c>
      <c r="H70" s="146" t="s">
        <v>1545</v>
      </c>
      <c r="I70" s="16" t="s">
        <v>1327</v>
      </c>
      <c r="J70" s="16">
        <v>40</v>
      </c>
      <c r="K70" s="258" t="s">
        <v>900</v>
      </c>
    </row>
    <row r="71" spans="1:29">
      <c r="A71" s="16" t="s">
        <v>512</v>
      </c>
      <c r="B71" s="16" t="s">
        <v>620</v>
      </c>
      <c r="C71" s="258" t="s">
        <v>605</v>
      </c>
      <c r="D71" s="258"/>
      <c r="E71" s="258" t="s">
        <v>74</v>
      </c>
      <c r="F71" s="258" t="s">
        <v>2101</v>
      </c>
      <c r="G71" s="146" t="s">
        <v>75</v>
      </c>
      <c r="H71" s="146" t="s">
        <v>2102</v>
      </c>
      <c r="I71" s="16" t="s">
        <v>1079</v>
      </c>
      <c r="J71" s="16">
        <v>32</v>
      </c>
      <c r="K71" s="258" t="s">
        <v>900</v>
      </c>
    </row>
    <row r="72" spans="1:29">
      <c r="A72" s="16" t="s">
        <v>512</v>
      </c>
      <c r="B72" s="16" t="s">
        <v>620</v>
      </c>
      <c r="C72" s="258" t="s">
        <v>614</v>
      </c>
      <c r="D72" s="258" t="s">
        <v>1128</v>
      </c>
      <c r="E72" s="258" t="s">
        <v>74</v>
      </c>
      <c r="F72" s="258" t="s">
        <v>2104</v>
      </c>
      <c r="G72" s="146" t="s">
        <v>75</v>
      </c>
      <c r="H72" s="146" t="s">
        <v>2105</v>
      </c>
      <c r="I72" s="16" t="s">
        <v>1327</v>
      </c>
      <c r="J72" s="16">
        <v>40</v>
      </c>
      <c r="K72" s="258" t="s">
        <v>922</v>
      </c>
    </row>
    <row r="73" spans="1:29">
      <c r="A73" s="16" t="s">
        <v>512</v>
      </c>
      <c r="B73" s="16" t="s">
        <v>620</v>
      </c>
      <c r="C73" s="258" t="s">
        <v>614</v>
      </c>
      <c r="D73" s="258"/>
      <c r="E73" s="258" t="s">
        <v>74</v>
      </c>
      <c r="F73" s="258" t="s">
        <v>2106</v>
      </c>
      <c r="G73" s="146" t="s">
        <v>75</v>
      </c>
      <c r="H73" s="146" t="s">
        <v>2107</v>
      </c>
      <c r="I73" s="16" t="s">
        <v>1079</v>
      </c>
      <c r="J73" s="16">
        <v>32</v>
      </c>
      <c r="K73" s="258" t="s">
        <v>922</v>
      </c>
    </row>
    <row r="74" spans="1:29">
      <c r="A74" s="16"/>
      <c r="B74" s="16"/>
      <c r="C74" s="258"/>
      <c r="D74" s="258" t="s">
        <v>1339</v>
      </c>
      <c r="E74" s="258" t="s">
        <v>74</v>
      </c>
      <c r="F74" s="258" t="s">
        <v>930</v>
      </c>
      <c r="G74" s="146" t="s">
        <v>75</v>
      </c>
      <c r="H74" s="146" t="s">
        <v>1524</v>
      </c>
      <c r="I74" s="16" t="s">
        <v>1327</v>
      </c>
      <c r="J74" s="16">
        <v>40</v>
      </c>
      <c r="K74" s="258" t="s">
        <v>929</v>
      </c>
    </row>
    <row r="75" spans="1:29">
      <c r="A75" s="16" t="s">
        <v>512</v>
      </c>
      <c r="B75" s="16" t="s">
        <v>620</v>
      </c>
      <c r="C75" s="258" t="s">
        <v>460</v>
      </c>
      <c r="D75" s="258" t="s">
        <v>1128</v>
      </c>
      <c r="E75" s="258" t="s">
        <v>74</v>
      </c>
      <c r="F75" s="16" t="s">
        <v>750</v>
      </c>
      <c r="G75" s="146" t="s">
        <v>75</v>
      </c>
      <c r="H75" s="146" t="s">
        <v>1358</v>
      </c>
      <c r="I75" s="16" t="s">
        <v>1327</v>
      </c>
      <c r="J75" s="16">
        <v>20</v>
      </c>
      <c r="K75" s="258" t="s">
        <v>882</v>
      </c>
    </row>
    <row r="76" spans="1:29">
      <c r="A76" s="258" t="s">
        <v>409</v>
      </c>
      <c r="B76" s="258" t="s">
        <v>410</v>
      </c>
      <c r="C76" s="258" t="s">
        <v>413</v>
      </c>
      <c r="D76" s="16" t="s">
        <v>1128</v>
      </c>
      <c r="E76" s="258" t="s">
        <v>74</v>
      </c>
      <c r="F76" s="258" t="s">
        <v>657</v>
      </c>
      <c r="G76" s="146" t="s">
        <v>75</v>
      </c>
      <c r="H76" s="31" t="s">
        <v>1663</v>
      </c>
      <c r="I76" s="16" t="s">
        <v>1327</v>
      </c>
      <c r="J76" s="16">
        <v>20</v>
      </c>
      <c r="K76" s="258" t="s">
        <v>656</v>
      </c>
    </row>
    <row r="77" spans="1:29">
      <c r="A77" s="258" t="s">
        <v>414</v>
      </c>
      <c r="B77" s="16" t="s">
        <v>2109</v>
      </c>
      <c r="C77" s="258" t="s">
        <v>418</v>
      </c>
      <c r="D77" s="16" t="s">
        <v>2110</v>
      </c>
      <c r="E77" s="258" t="s">
        <v>74</v>
      </c>
      <c r="F77" s="13" t="s">
        <v>663</v>
      </c>
      <c r="G77" s="146" t="s">
        <v>75</v>
      </c>
      <c r="H77" s="31" t="s">
        <v>1592</v>
      </c>
      <c r="I77" s="16" t="s">
        <v>1106</v>
      </c>
      <c r="J77" s="16">
        <v>20</v>
      </c>
      <c r="K77" s="258" t="s">
        <v>662</v>
      </c>
    </row>
    <row r="78" spans="1:29">
      <c r="A78" s="258" t="s">
        <v>414</v>
      </c>
      <c r="B78" s="16" t="s">
        <v>2111</v>
      </c>
      <c r="C78" s="258" t="s">
        <v>418</v>
      </c>
      <c r="D78" s="16" t="s">
        <v>1128</v>
      </c>
      <c r="E78" s="258" t="s">
        <v>74</v>
      </c>
      <c r="F78" s="258" t="s">
        <v>664</v>
      </c>
      <c r="G78" s="146" t="s">
        <v>75</v>
      </c>
      <c r="H78" s="31" t="s">
        <v>354</v>
      </c>
      <c r="I78" s="16" t="s">
        <v>1327</v>
      </c>
      <c r="J78" s="16">
        <v>20</v>
      </c>
      <c r="K78" s="258"/>
    </row>
    <row r="79" spans="1:29">
      <c r="A79" s="16" t="s">
        <v>414</v>
      </c>
      <c r="B79" s="16" t="s">
        <v>422</v>
      </c>
      <c r="C79" s="258" t="s">
        <v>424</v>
      </c>
      <c r="D79" s="16" t="s">
        <v>1128</v>
      </c>
      <c r="E79" s="258" t="s">
        <v>74</v>
      </c>
      <c r="F79" s="258" t="s">
        <v>673</v>
      </c>
      <c r="G79" s="146" t="s">
        <v>75</v>
      </c>
      <c r="H79" s="31" t="s">
        <v>1656</v>
      </c>
      <c r="I79" s="16" t="s">
        <v>1327</v>
      </c>
      <c r="J79" s="16">
        <v>40</v>
      </c>
      <c r="K79" s="258" t="s">
        <v>2133</v>
      </c>
    </row>
    <row r="80" spans="1:29">
      <c r="A80" s="16" t="s">
        <v>414</v>
      </c>
      <c r="B80" s="16" t="s">
        <v>422</v>
      </c>
      <c r="C80" s="258" t="s">
        <v>425</v>
      </c>
      <c r="D80" s="16" t="s">
        <v>1128</v>
      </c>
      <c r="E80" s="258" t="s">
        <v>74</v>
      </c>
      <c r="F80" s="258" t="s">
        <v>676</v>
      </c>
      <c r="G80" s="146" t="s">
        <v>75</v>
      </c>
      <c r="H80" s="31" t="s">
        <v>1647</v>
      </c>
      <c r="I80" s="16" t="s">
        <v>1327</v>
      </c>
      <c r="J80" s="16">
        <v>40</v>
      </c>
      <c r="K80" s="258" t="s">
        <v>675</v>
      </c>
    </row>
    <row r="81" spans="1:29">
      <c r="A81" s="16" t="s">
        <v>414</v>
      </c>
      <c r="B81" s="16" t="s">
        <v>422</v>
      </c>
      <c r="C81" s="258" t="s">
        <v>677</v>
      </c>
      <c r="D81" s="16" t="s">
        <v>1128</v>
      </c>
      <c r="E81" s="258" t="s">
        <v>74</v>
      </c>
      <c r="F81" s="13" t="s">
        <v>679</v>
      </c>
      <c r="G81" s="146" t="s">
        <v>75</v>
      </c>
      <c r="H81" s="31" t="s">
        <v>1649</v>
      </c>
      <c r="I81" s="16" t="s">
        <v>1327</v>
      </c>
      <c r="J81" s="16">
        <v>20</v>
      </c>
      <c r="K81" s="13" t="s">
        <v>678</v>
      </c>
    </row>
    <row r="82" spans="1:29">
      <c r="A82" s="16" t="s">
        <v>414</v>
      </c>
      <c r="B82" s="16" t="s">
        <v>422</v>
      </c>
      <c r="C82" s="258" t="s">
        <v>705</v>
      </c>
      <c r="D82" s="16" t="s">
        <v>1128</v>
      </c>
      <c r="E82" s="258" t="s">
        <v>74</v>
      </c>
      <c r="F82" s="13" t="s">
        <v>706</v>
      </c>
      <c r="G82" s="146" t="s">
        <v>75</v>
      </c>
      <c r="H82" s="146" t="s">
        <v>1589</v>
      </c>
      <c r="I82" s="16" t="s">
        <v>1327</v>
      </c>
      <c r="J82" s="16">
        <v>20</v>
      </c>
      <c r="K82" s="13"/>
    </row>
    <row r="83" spans="1:29">
      <c r="A83" s="16" t="s">
        <v>414</v>
      </c>
      <c r="B83" s="16" t="s">
        <v>422</v>
      </c>
      <c r="C83" s="258" t="s">
        <v>426</v>
      </c>
      <c r="D83" s="16" t="s">
        <v>1128</v>
      </c>
      <c r="E83" s="258" t="s">
        <v>74</v>
      </c>
      <c r="F83" s="258" t="s">
        <v>681</v>
      </c>
      <c r="G83" s="146" t="s">
        <v>75</v>
      </c>
      <c r="H83" s="31" t="s">
        <v>1724</v>
      </c>
      <c r="I83" s="16" t="s">
        <v>1327</v>
      </c>
      <c r="J83" s="16">
        <v>20</v>
      </c>
      <c r="K83" s="258" t="s">
        <v>680</v>
      </c>
    </row>
    <row r="84" spans="1:29">
      <c r="A84" s="47" t="s">
        <v>414</v>
      </c>
      <c r="B84" s="47" t="s">
        <v>422</v>
      </c>
      <c r="C84" s="46" t="s">
        <v>427</v>
      </c>
      <c r="D84" s="47" t="s">
        <v>1128</v>
      </c>
      <c r="E84" s="46" t="s">
        <v>74</v>
      </c>
      <c r="F84" s="46" t="s">
        <v>1595</v>
      </c>
      <c r="G84" s="233" t="s">
        <v>75</v>
      </c>
      <c r="H84" s="251" t="s">
        <v>1596</v>
      </c>
      <c r="I84" s="47" t="s">
        <v>1327</v>
      </c>
      <c r="J84" s="47">
        <v>20</v>
      </c>
      <c r="K84" s="46" t="s">
        <v>682</v>
      </c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 spans="1:29">
      <c r="A85" s="16" t="s">
        <v>414</v>
      </c>
      <c r="B85" s="16" t="s">
        <v>422</v>
      </c>
      <c r="C85" s="258" t="s">
        <v>423</v>
      </c>
      <c r="D85" s="16" t="s">
        <v>1128</v>
      </c>
      <c r="E85" s="258" t="s">
        <v>74</v>
      </c>
      <c r="F85" s="258" t="s">
        <v>671</v>
      </c>
      <c r="G85" s="146" t="s">
        <v>75</v>
      </c>
      <c r="H85" s="31" t="s">
        <v>1576</v>
      </c>
      <c r="I85" s="16" t="s">
        <v>1327</v>
      </c>
      <c r="J85" s="16">
        <v>40</v>
      </c>
      <c r="K85" s="258" t="s">
        <v>669</v>
      </c>
    </row>
    <row r="86" spans="1:29">
      <c r="A86" s="16" t="s">
        <v>414</v>
      </c>
      <c r="B86" s="16" t="s">
        <v>422</v>
      </c>
      <c r="C86" s="258" t="s">
        <v>429</v>
      </c>
      <c r="D86" s="16" t="s">
        <v>1128</v>
      </c>
      <c r="E86" s="258" t="s">
        <v>74</v>
      </c>
      <c r="F86" s="258" t="s">
        <v>686</v>
      </c>
      <c r="G86" s="146" t="s">
        <v>75</v>
      </c>
      <c r="H86" s="31" t="s">
        <v>1578</v>
      </c>
      <c r="I86" s="16" t="s">
        <v>1327</v>
      </c>
      <c r="J86" s="16">
        <v>40</v>
      </c>
      <c r="K86" s="258" t="s">
        <v>685</v>
      </c>
    </row>
    <row r="87" spans="1:29">
      <c r="A87" s="16" t="s">
        <v>414</v>
      </c>
      <c r="B87" s="16" t="s">
        <v>422</v>
      </c>
      <c r="C87" s="285" t="s">
        <v>699</v>
      </c>
      <c r="D87" s="16" t="s">
        <v>1128</v>
      </c>
      <c r="E87" s="258" t="s">
        <v>74</v>
      </c>
      <c r="F87" s="285" t="s">
        <v>700</v>
      </c>
      <c r="G87" s="146" t="s">
        <v>75</v>
      </c>
      <c r="H87" s="146" t="s">
        <v>1580</v>
      </c>
      <c r="I87" s="16" t="s">
        <v>1327</v>
      </c>
      <c r="J87" s="16">
        <v>40</v>
      </c>
      <c r="K87" s="285"/>
    </row>
    <row r="88" spans="1:29">
      <c r="A88" s="16" t="s">
        <v>414</v>
      </c>
      <c r="B88" s="16" t="s">
        <v>422</v>
      </c>
      <c r="C88" s="285" t="s">
        <v>701</v>
      </c>
      <c r="D88" s="16" t="s">
        <v>1128</v>
      </c>
      <c r="E88" s="258" t="s">
        <v>74</v>
      </c>
      <c r="F88" s="285" t="s">
        <v>702</v>
      </c>
      <c r="G88" s="146" t="s">
        <v>75</v>
      </c>
      <c r="H88" s="146" t="s">
        <v>1583</v>
      </c>
      <c r="I88" s="16" t="s">
        <v>1327</v>
      </c>
      <c r="J88" s="16">
        <v>40</v>
      </c>
      <c r="K88" s="285"/>
    </row>
    <row r="89" spans="1:29">
      <c r="A89" s="16" t="s">
        <v>414</v>
      </c>
      <c r="B89" s="16" t="s">
        <v>422</v>
      </c>
      <c r="C89" s="285" t="s">
        <v>703</v>
      </c>
      <c r="D89" s="16" t="s">
        <v>1128</v>
      </c>
      <c r="E89" s="258" t="s">
        <v>74</v>
      </c>
      <c r="F89" s="285" t="s">
        <v>704</v>
      </c>
      <c r="G89" s="146" t="s">
        <v>75</v>
      </c>
      <c r="H89" s="146" t="s">
        <v>1586</v>
      </c>
      <c r="I89" s="16" t="s">
        <v>1327</v>
      </c>
      <c r="J89" s="16">
        <v>1000</v>
      </c>
      <c r="K89" s="285"/>
    </row>
    <row r="90" spans="1:29">
      <c r="A90" s="16"/>
      <c r="B90" s="16"/>
      <c r="C90" s="285"/>
      <c r="D90" s="16" t="s">
        <v>1535</v>
      </c>
      <c r="E90" s="258" t="s">
        <v>74</v>
      </c>
      <c r="F90" s="285" t="s">
        <v>854</v>
      </c>
      <c r="G90" s="146" t="s">
        <v>75</v>
      </c>
      <c r="H90" s="146" t="s">
        <v>1353</v>
      </c>
      <c r="I90" s="16" t="s">
        <v>1327</v>
      </c>
      <c r="J90" s="16">
        <v>40</v>
      </c>
      <c r="K90" s="285" t="s">
        <v>881</v>
      </c>
    </row>
    <row r="91" spans="1:29">
      <c r="A91" s="16"/>
      <c r="B91" s="16"/>
      <c r="C91" s="285"/>
      <c r="D91" s="16" t="s">
        <v>1535</v>
      </c>
      <c r="E91" s="258" t="s">
        <v>74</v>
      </c>
      <c r="F91" s="285" t="s">
        <v>772</v>
      </c>
      <c r="G91" s="146" t="s">
        <v>75</v>
      </c>
      <c r="H91" s="146" t="s">
        <v>1377</v>
      </c>
      <c r="I91" s="16" t="s">
        <v>1327</v>
      </c>
      <c r="J91" s="16">
        <v>40</v>
      </c>
      <c r="K91" s="285" t="s">
        <v>899</v>
      </c>
    </row>
    <row r="92" spans="1:29">
      <c r="A92" s="16" t="s">
        <v>414</v>
      </c>
      <c r="B92" s="16" t="s">
        <v>620</v>
      </c>
      <c r="C92" s="285" t="s">
        <v>557</v>
      </c>
      <c r="D92" s="16" t="s">
        <v>1128</v>
      </c>
      <c r="E92" s="258" t="s">
        <v>74</v>
      </c>
      <c r="F92" s="285" t="s">
        <v>917</v>
      </c>
      <c r="G92" s="146" t="s">
        <v>75</v>
      </c>
      <c r="H92" s="146" t="s">
        <v>2114</v>
      </c>
      <c r="I92" s="16" t="s">
        <v>1327</v>
      </c>
      <c r="J92" s="16">
        <v>40</v>
      </c>
      <c r="K92" s="285" t="s">
        <v>916</v>
      </c>
    </row>
    <row r="93" spans="1:29">
      <c r="A93" s="258" t="s">
        <v>414</v>
      </c>
      <c r="B93" s="16" t="s">
        <v>430</v>
      </c>
      <c r="C93" s="258" t="s">
        <v>431</v>
      </c>
      <c r="D93" s="41" t="s">
        <v>2116</v>
      </c>
      <c r="E93" s="258" t="s">
        <v>74</v>
      </c>
      <c r="F93" s="258" t="s">
        <v>711</v>
      </c>
      <c r="G93" s="146" t="s">
        <v>75</v>
      </c>
      <c r="H93" s="31" t="s">
        <v>1668</v>
      </c>
      <c r="I93" s="16" t="s">
        <v>1327</v>
      </c>
      <c r="J93" s="16">
        <v>20</v>
      </c>
      <c r="K93" s="258" t="s">
        <v>710</v>
      </c>
    </row>
    <row r="94" spans="1:29">
      <c r="A94" s="258" t="s">
        <v>414</v>
      </c>
      <c r="B94" s="16" t="s">
        <v>430</v>
      </c>
      <c r="C94" s="258" t="s">
        <v>432</v>
      </c>
      <c r="D94" s="310" t="s">
        <v>2117</v>
      </c>
      <c r="E94" s="258" t="s">
        <v>74</v>
      </c>
      <c r="F94" s="258" t="s">
        <v>713</v>
      </c>
      <c r="G94" s="146" t="s">
        <v>75</v>
      </c>
      <c r="H94" s="31" t="s">
        <v>1671</v>
      </c>
      <c r="I94" s="16" t="s">
        <v>1327</v>
      </c>
      <c r="J94" s="16">
        <v>20</v>
      </c>
      <c r="K94" s="258" t="s">
        <v>712</v>
      </c>
    </row>
    <row r="95" spans="1:29">
      <c r="A95" s="258" t="s">
        <v>414</v>
      </c>
      <c r="B95" s="16" t="s">
        <v>433</v>
      </c>
      <c r="C95" s="258" t="s">
        <v>434</v>
      </c>
      <c r="D95" s="16" t="s">
        <v>1128</v>
      </c>
      <c r="E95" s="258" t="s">
        <v>74</v>
      </c>
      <c r="F95" s="258" t="s">
        <v>722</v>
      </c>
      <c r="G95" s="146" t="s">
        <v>75</v>
      </c>
      <c r="H95" s="31" t="s">
        <v>1651</v>
      </c>
      <c r="I95" s="16" t="s">
        <v>1327</v>
      </c>
      <c r="J95" s="16">
        <v>20</v>
      </c>
      <c r="K95" s="258" t="s">
        <v>720</v>
      </c>
    </row>
    <row r="96" spans="1:29">
      <c r="A96" s="258" t="s">
        <v>414</v>
      </c>
      <c r="B96" s="16" t="s">
        <v>433</v>
      </c>
      <c r="C96" s="258" t="s">
        <v>435</v>
      </c>
      <c r="D96" s="16" t="s">
        <v>1128</v>
      </c>
      <c r="E96" s="258" t="s">
        <v>74</v>
      </c>
      <c r="F96" s="258" t="s">
        <v>724</v>
      </c>
      <c r="G96" s="146" t="s">
        <v>75</v>
      </c>
      <c r="H96" s="31" t="s">
        <v>1674</v>
      </c>
      <c r="I96" s="16" t="s">
        <v>519</v>
      </c>
      <c r="J96" s="16"/>
      <c r="K96" s="258" t="s">
        <v>723</v>
      </c>
    </row>
    <row r="97" spans="1:29">
      <c r="A97" s="258" t="s">
        <v>505</v>
      </c>
      <c r="B97" s="16" t="s">
        <v>525</v>
      </c>
      <c r="C97" s="258" t="s">
        <v>522</v>
      </c>
      <c r="D97" s="16" t="s">
        <v>1128</v>
      </c>
      <c r="E97" s="258" t="s">
        <v>74</v>
      </c>
      <c r="F97" s="13" t="s">
        <v>1486</v>
      </c>
      <c r="G97" s="146" t="s">
        <v>75</v>
      </c>
      <c r="H97" s="31" t="s">
        <v>1485</v>
      </c>
      <c r="I97" s="16" t="s">
        <v>1327</v>
      </c>
      <c r="J97" s="16">
        <v>20</v>
      </c>
      <c r="K97" s="258" t="s">
        <v>758</v>
      </c>
    </row>
    <row r="98" spans="1:29">
      <c r="A98" s="258" t="s">
        <v>505</v>
      </c>
      <c r="B98" s="16" t="s">
        <v>525</v>
      </c>
      <c r="C98" s="258" t="s">
        <v>522</v>
      </c>
      <c r="D98" s="16"/>
      <c r="E98" s="258" t="s">
        <v>74</v>
      </c>
      <c r="F98" s="16" t="s">
        <v>2118</v>
      </c>
      <c r="G98" s="146" t="s">
        <v>75</v>
      </c>
      <c r="H98" s="31" t="s">
        <v>2119</v>
      </c>
      <c r="I98" s="16" t="s">
        <v>1079</v>
      </c>
      <c r="J98" s="16">
        <v>32</v>
      </c>
      <c r="K98" s="258" t="s">
        <v>2120</v>
      </c>
    </row>
    <row r="99" spans="1:29">
      <c r="A99" s="16"/>
      <c r="B99" s="16"/>
      <c r="C99" s="16"/>
      <c r="D99" s="247" t="s">
        <v>2121</v>
      </c>
      <c r="E99" s="258" t="s">
        <v>74</v>
      </c>
      <c r="F99" s="13" t="s">
        <v>948</v>
      </c>
      <c r="G99" s="146" t="s">
        <v>75</v>
      </c>
      <c r="H99" s="126" t="s">
        <v>1528</v>
      </c>
      <c r="I99" s="16" t="s">
        <v>1327</v>
      </c>
      <c r="J99" s="16">
        <v>20</v>
      </c>
      <c r="K99" s="16" t="s">
        <v>962</v>
      </c>
    </row>
    <row r="100" spans="1:29">
      <c r="A100" s="16"/>
      <c r="B100" s="16"/>
      <c r="C100" s="16"/>
      <c r="D100" s="16" t="s">
        <v>2122</v>
      </c>
      <c r="E100" s="258" t="s">
        <v>74</v>
      </c>
      <c r="F100" s="16" t="s">
        <v>1290</v>
      </c>
      <c r="G100" s="146" t="s">
        <v>75</v>
      </c>
      <c r="H100" s="16" t="s">
        <v>1291</v>
      </c>
      <c r="I100" s="16" t="s">
        <v>519</v>
      </c>
      <c r="J100" s="16">
        <v>8</v>
      </c>
      <c r="K100" s="16" t="s">
        <v>1292</v>
      </c>
    </row>
    <row r="101" spans="1:29">
      <c r="A101" s="16"/>
      <c r="B101" s="16"/>
      <c r="C101" s="16"/>
      <c r="D101" s="16" t="s">
        <v>1293</v>
      </c>
      <c r="E101" s="258" t="s">
        <v>74</v>
      </c>
      <c r="F101" s="16" t="s">
        <v>1294</v>
      </c>
      <c r="G101" s="146" t="s">
        <v>75</v>
      </c>
      <c r="H101" s="16" t="s">
        <v>1295</v>
      </c>
      <c r="I101" s="16" t="s">
        <v>519</v>
      </c>
      <c r="J101" s="16">
        <v>8</v>
      </c>
      <c r="K101" s="16" t="s">
        <v>1296</v>
      </c>
    </row>
    <row r="102" spans="1:29">
      <c r="A102" s="16"/>
      <c r="B102" s="16"/>
      <c r="C102" s="16"/>
      <c r="D102" s="16" t="s">
        <v>1297</v>
      </c>
      <c r="E102" s="258" t="s">
        <v>74</v>
      </c>
      <c r="F102" s="16" t="s">
        <v>1298</v>
      </c>
      <c r="G102" s="146" t="s">
        <v>75</v>
      </c>
      <c r="H102" s="16" t="s">
        <v>1299</v>
      </c>
      <c r="I102" s="16" t="s">
        <v>519</v>
      </c>
      <c r="J102" s="16">
        <v>8</v>
      </c>
      <c r="K102" s="16" t="s">
        <v>1300</v>
      </c>
    </row>
    <row r="104" spans="1:29">
      <c r="A104" s="230" t="s">
        <v>1433</v>
      </c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</row>
    <row r="105" spans="1:29">
      <c r="A105" s="34" t="s">
        <v>1058</v>
      </c>
      <c r="B105" s="34" t="s">
        <v>1059</v>
      </c>
      <c r="C105" s="34"/>
      <c r="D105" s="34" t="s">
        <v>1060</v>
      </c>
      <c r="E105" s="34"/>
      <c r="F105" s="34"/>
      <c r="G105" s="34"/>
      <c r="H105" s="34"/>
      <c r="I105" s="34"/>
      <c r="J105" s="34"/>
      <c r="K105" s="34"/>
    </row>
    <row r="106" spans="1:29">
      <c r="A106" s="258" t="s">
        <v>512</v>
      </c>
      <c r="B106" s="311" t="s">
        <v>626</v>
      </c>
      <c r="C106" s="285" t="s">
        <v>1501</v>
      </c>
      <c r="D106" s="285"/>
      <c r="E106" s="281"/>
      <c r="F106" s="28"/>
      <c r="G106" s="28"/>
      <c r="H106" s="28"/>
      <c r="I106" s="28"/>
      <c r="J106" s="28"/>
      <c r="K106" s="28"/>
    </row>
    <row r="107" spans="1:29">
      <c r="A107" s="258" t="s">
        <v>512</v>
      </c>
      <c r="B107" s="311" t="s">
        <v>638</v>
      </c>
      <c r="C107" s="41" t="s">
        <v>1314</v>
      </c>
      <c r="D107" s="41" t="s">
        <v>2086</v>
      </c>
      <c r="E107" s="281"/>
      <c r="F107" s="28"/>
      <c r="G107" s="28"/>
      <c r="H107" s="28"/>
      <c r="I107" s="28"/>
      <c r="J107" s="28"/>
      <c r="K107" s="28"/>
    </row>
    <row r="108" spans="1:29">
      <c r="A108" s="306"/>
      <c r="B108" s="306"/>
      <c r="C108" s="306"/>
      <c r="D108" s="306"/>
      <c r="E108" s="306"/>
      <c r="F108" s="306"/>
      <c r="G108" s="230"/>
      <c r="H108" s="230"/>
      <c r="I108" s="230"/>
      <c r="J108" s="230"/>
      <c r="K108" s="230"/>
    </row>
    <row r="109" spans="1:29">
      <c r="A109" s="306"/>
      <c r="B109" s="306"/>
      <c r="C109" s="306"/>
      <c r="D109" s="306"/>
      <c r="E109" s="306"/>
      <c r="F109" s="306"/>
      <c r="G109" s="230"/>
      <c r="H109" s="230"/>
      <c r="I109" s="230"/>
      <c r="J109" s="230"/>
      <c r="K109" s="230"/>
    </row>
    <row r="110" spans="1:29">
      <c r="A110" s="306"/>
      <c r="B110" s="306"/>
      <c r="C110" s="306"/>
      <c r="D110" s="306"/>
      <c r="E110" s="306"/>
      <c r="F110" s="306"/>
      <c r="G110" s="230"/>
      <c r="H110" s="230"/>
      <c r="I110" s="230"/>
      <c r="J110" s="230"/>
      <c r="K110" s="230"/>
    </row>
    <row r="111" spans="1:29">
      <c r="A111" s="34" t="s">
        <v>1058</v>
      </c>
      <c r="B111" s="34" t="s">
        <v>1059</v>
      </c>
      <c r="C111" s="34" t="s">
        <v>1065</v>
      </c>
      <c r="D111" s="34" t="s">
        <v>1066</v>
      </c>
      <c r="E111" s="34" t="s">
        <v>1067</v>
      </c>
      <c r="F111" s="34" t="s">
        <v>1068</v>
      </c>
      <c r="G111" s="34" t="s">
        <v>1069</v>
      </c>
      <c r="H111" s="34" t="s">
        <v>1070</v>
      </c>
      <c r="I111" s="34" t="s">
        <v>1071</v>
      </c>
      <c r="J111" s="34" t="s">
        <v>1072</v>
      </c>
      <c r="K111" s="34" t="s">
        <v>1073</v>
      </c>
    </row>
    <row r="112" spans="1:29">
      <c r="A112" s="13"/>
      <c r="B112" s="18"/>
      <c r="C112" s="13"/>
      <c r="D112" s="239" t="s">
        <v>2087</v>
      </c>
      <c r="E112" s="13"/>
      <c r="F112" s="311" t="s">
        <v>1093</v>
      </c>
      <c r="G112" s="146" t="s">
        <v>75</v>
      </c>
      <c r="H112" s="311" t="s">
        <v>316</v>
      </c>
      <c r="I112" s="17" t="s">
        <v>1327</v>
      </c>
      <c r="J112" s="17">
        <v>40</v>
      </c>
      <c r="K112" s="250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spans="1:11">
      <c r="A113" s="258" t="s">
        <v>512</v>
      </c>
      <c r="B113" s="16" t="s">
        <v>626</v>
      </c>
      <c r="C113" s="258" t="s">
        <v>490</v>
      </c>
      <c r="D113" s="258" t="s">
        <v>1076</v>
      </c>
      <c r="E113" s="258" t="s">
        <v>74</v>
      </c>
      <c r="F113" s="258" t="s">
        <v>1077</v>
      </c>
      <c r="G113" s="146" t="s">
        <v>75</v>
      </c>
      <c r="H113" s="146" t="s">
        <v>1078</v>
      </c>
      <c r="I113" s="16" t="s">
        <v>1079</v>
      </c>
      <c r="J113" s="16">
        <v>32</v>
      </c>
      <c r="K113" s="16" t="s">
        <v>1733</v>
      </c>
    </row>
    <row r="114" spans="1:11">
      <c r="A114" s="258" t="s">
        <v>512</v>
      </c>
      <c r="B114" s="16" t="s">
        <v>626</v>
      </c>
      <c r="C114" s="258" t="s">
        <v>490</v>
      </c>
      <c r="D114" s="258" t="s">
        <v>1128</v>
      </c>
      <c r="E114" s="258" t="s">
        <v>74</v>
      </c>
      <c r="F114" s="258" t="s">
        <v>928</v>
      </c>
      <c r="G114" s="146" t="s">
        <v>75</v>
      </c>
      <c r="H114" s="146" t="s">
        <v>1082</v>
      </c>
      <c r="I114" s="16" t="s">
        <v>1327</v>
      </c>
      <c r="J114" s="16">
        <v>40</v>
      </c>
      <c r="K114" s="258" t="s">
        <v>249</v>
      </c>
    </row>
    <row r="115" spans="1:11">
      <c r="A115" s="258" t="s">
        <v>512</v>
      </c>
      <c r="B115" s="16" t="s">
        <v>626</v>
      </c>
      <c r="C115" s="258" t="s">
        <v>637</v>
      </c>
      <c r="D115" s="258" t="s">
        <v>1128</v>
      </c>
      <c r="E115" s="258" t="s">
        <v>74</v>
      </c>
      <c r="F115" s="258" t="s">
        <v>1546</v>
      </c>
      <c r="G115" s="146" t="s">
        <v>75</v>
      </c>
      <c r="H115" s="146" t="s">
        <v>1545</v>
      </c>
      <c r="I115" s="16" t="s">
        <v>1327</v>
      </c>
      <c r="J115" s="16">
        <v>40</v>
      </c>
      <c r="K115" s="258" t="s">
        <v>900</v>
      </c>
    </row>
    <row r="116" spans="1:11">
      <c r="A116" s="258"/>
      <c r="B116" s="16"/>
      <c r="C116" s="258"/>
      <c r="D116" s="258" t="s">
        <v>1535</v>
      </c>
      <c r="E116" s="258" t="s">
        <v>74</v>
      </c>
      <c r="F116" s="258" t="s">
        <v>2101</v>
      </c>
      <c r="G116" s="146" t="s">
        <v>75</v>
      </c>
      <c r="H116" s="146" t="s">
        <v>2102</v>
      </c>
      <c r="I116" s="16"/>
      <c r="J116" s="16"/>
      <c r="K116" s="258" t="s">
        <v>900</v>
      </c>
    </row>
    <row r="117" spans="1:11">
      <c r="A117" s="258"/>
      <c r="B117" s="16"/>
      <c r="C117" s="258"/>
      <c r="D117" s="258" t="s">
        <v>1535</v>
      </c>
      <c r="E117" s="258" t="s">
        <v>74</v>
      </c>
      <c r="F117" s="258" t="s">
        <v>2104</v>
      </c>
      <c r="G117" s="146" t="s">
        <v>75</v>
      </c>
      <c r="H117" s="146" t="s">
        <v>2105</v>
      </c>
      <c r="I117" s="16" t="s">
        <v>1327</v>
      </c>
      <c r="J117" s="16">
        <v>40</v>
      </c>
      <c r="K117" s="258" t="s">
        <v>922</v>
      </c>
    </row>
    <row r="118" spans="1:11">
      <c r="A118" s="258"/>
      <c r="B118" s="16"/>
      <c r="C118" s="258"/>
      <c r="D118" s="258" t="s">
        <v>1535</v>
      </c>
      <c r="E118" s="258" t="s">
        <v>74</v>
      </c>
      <c r="F118" s="258" t="s">
        <v>2106</v>
      </c>
      <c r="G118" s="146" t="s">
        <v>75</v>
      </c>
      <c r="H118" s="146" t="s">
        <v>2107</v>
      </c>
      <c r="I118" s="16"/>
      <c r="J118" s="16"/>
      <c r="K118" s="258" t="s">
        <v>922</v>
      </c>
    </row>
    <row r="119" spans="1:11">
      <c r="A119" s="258" t="s">
        <v>512</v>
      </c>
      <c r="B119" s="16" t="s">
        <v>626</v>
      </c>
      <c r="C119" s="258" t="s">
        <v>398</v>
      </c>
      <c r="D119" s="258" t="s">
        <v>1128</v>
      </c>
      <c r="E119" s="258" t="s">
        <v>74</v>
      </c>
      <c r="F119" s="258" t="s">
        <v>930</v>
      </c>
      <c r="G119" s="146" t="s">
        <v>75</v>
      </c>
      <c r="H119" s="146" t="s">
        <v>1524</v>
      </c>
      <c r="I119" s="16" t="s">
        <v>1327</v>
      </c>
      <c r="J119" s="16">
        <v>40</v>
      </c>
      <c r="K119" s="258" t="s">
        <v>929</v>
      </c>
    </row>
    <row r="120" spans="1:11">
      <c r="A120" s="258" t="s">
        <v>512</v>
      </c>
      <c r="B120" s="311" t="s">
        <v>638</v>
      </c>
      <c r="C120" s="258" t="s">
        <v>460</v>
      </c>
      <c r="D120" s="258" t="s">
        <v>1128</v>
      </c>
      <c r="E120" s="258" t="s">
        <v>74</v>
      </c>
      <c r="F120" s="16" t="s">
        <v>750</v>
      </c>
      <c r="G120" s="146" t="s">
        <v>75</v>
      </c>
      <c r="H120" s="146" t="s">
        <v>1358</v>
      </c>
      <c r="I120" s="16" t="s">
        <v>1327</v>
      </c>
      <c r="J120" s="16">
        <v>20</v>
      </c>
      <c r="K120" s="258" t="s">
        <v>882</v>
      </c>
    </row>
    <row r="121" spans="1:11">
      <c r="A121" s="258"/>
      <c r="B121" s="16"/>
      <c r="C121" s="258"/>
      <c r="D121" s="258" t="s">
        <v>1535</v>
      </c>
      <c r="E121" s="258" t="s">
        <v>74</v>
      </c>
      <c r="F121" s="258" t="s">
        <v>657</v>
      </c>
      <c r="G121" s="146" t="s">
        <v>75</v>
      </c>
      <c r="H121" s="31" t="s">
        <v>1663</v>
      </c>
      <c r="I121" s="16" t="s">
        <v>1327</v>
      </c>
      <c r="J121" s="16">
        <v>20</v>
      </c>
      <c r="K121" s="258" t="s">
        <v>656</v>
      </c>
    </row>
    <row r="122" spans="1:11">
      <c r="A122" s="258"/>
      <c r="B122" s="16"/>
      <c r="C122" s="258"/>
      <c r="D122" s="258" t="s">
        <v>1535</v>
      </c>
      <c r="E122" s="258" t="s">
        <v>74</v>
      </c>
      <c r="F122" s="13" t="s">
        <v>663</v>
      </c>
      <c r="G122" s="146" t="s">
        <v>75</v>
      </c>
      <c r="H122" s="31" t="s">
        <v>1592</v>
      </c>
      <c r="I122" s="16" t="s">
        <v>1106</v>
      </c>
      <c r="J122" s="16">
        <v>20</v>
      </c>
      <c r="K122" s="258" t="s">
        <v>662</v>
      </c>
    </row>
    <row r="123" spans="1:11">
      <c r="A123" s="258"/>
      <c r="B123" s="16"/>
      <c r="C123" s="258"/>
      <c r="D123" s="258" t="s">
        <v>1535</v>
      </c>
      <c r="E123" s="258" t="s">
        <v>74</v>
      </c>
      <c r="F123" s="258" t="s">
        <v>664</v>
      </c>
      <c r="G123" s="146" t="s">
        <v>75</v>
      </c>
      <c r="H123" s="31" t="s">
        <v>354</v>
      </c>
      <c r="I123" s="16" t="s">
        <v>1327</v>
      </c>
      <c r="J123" s="16">
        <v>20</v>
      </c>
      <c r="K123" s="258"/>
    </row>
    <row r="124" spans="1:11">
      <c r="A124" s="258"/>
      <c r="B124" s="16"/>
      <c r="C124" s="258"/>
      <c r="D124" s="258" t="s">
        <v>1535</v>
      </c>
      <c r="E124" s="258" t="s">
        <v>74</v>
      </c>
      <c r="F124" s="258" t="s">
        <v>673</v>
      </c>
      <c r="G124" s="146" t="s">
        <v>75</v>
      </c>
      <c r="H124" s="31" t="s">
        <v>1656</v>
      </c>
      <c r="I124" s="16" t="s">
        <v>1327</v>
      </c>
      <c r="J124" s="16">
        <v>40</v>
      </c>
      <c r="K124" s="258" t="s">
        <v>2133</v>
      </c>
    </row>
    <row r="125" spans="1:11">
      <c r="A125" s="258"/>
      <c r="B125" s="16"/>
      <c r="C125" s="258"/>
      <c r="D125" s="258" t="s">
        <v>1535</v>
      </c>
      <c r="E125" s="258" t="s">
        <v>74</v>
      </c>
      <c r="F125" s="13" t="s">
        <v>679</v>
      </c>
      <c r="G125" s="146" t="s">
        <v>75</v>
      </c>
      <c r="H125" s="31" t="s">
        <v>1649</v>
      </c>
      <c r="I125" s="16" t="s">
        <v>1327</v>
      </c>
      <c r="J125" s="16">
        <v>20</v>
      </c>
      <c r="K125" s="13" t="s">
        <v>678</v>
      </c>
    </row>
    <row r="126" spans="1:11">
      <c r="A126" s="258"/>
      <c r="B126" s="16"/>
      <c r="C126" s="258"/>
      <c r="D126" s="258" t="s">
        <v>1535</v>
      </c>
      <c r="E126" s="258" t="s">
        <v>74</v>
      </c>
      <c r="F126" s="13" t="s">
        <v>706</v>
      </c>
      <c r="G126" s="146" t="s">
        <v>75</v>
      </c>
      <c r="H126" s="146" t="s">
        <v>1589</v>
      </c>
      <c r="I126" s="16" t="s">
        <v>1327</v>
      </c>
      <c r="J126" s="16">
        <v>20</v>
      </c>
      <c r="K126" s="13"/>
    </row>
    <row r="127" spans="1:11">
      <c r="A127" s="258"/>
      <c r="B127" s="16"/>
      <c r="C127" s="258"/>
      <c r="D127" s="258" t="s">
        <v>1535</v>
      </c>
      <c r="E127" s="258" t="s">
        <v>74</v>
      </c>
      <c r="F127" s="258" t="s">
        <v>676</v>
      </c>
      <c r="G127" s="146" t="s">
        <v>75</v>
      </c>
      <c r="H127" s="31" t="s">
        <v>1647</v>
      </c>
      <c r="I127" s="16" t="s">
        <v>1327</v>
      </c>
      <c r="J127" s="16">
        <v>40</v>
      </c>
      <c r="K127" s="258" t="s">
        <v>675</v>
      </c>
    </row>
    <row r="128" spans="1:11">
      <c r="A128" s="258"/>
      <c r="B128" s="16"/>
      <c r="C128" s="258"/>
      <c r="D128" s="258" t="s">
        <v>1535</v>
      </c>
      <c r="E128" s="258" t="s">
        <v>74</v>
      </c>
      <c r="F128" s="258" t="s">
        <v>681</v>
      </c>
      <c r="G128" s="146" t="s">
        <v>75</v>
      </c>
      <c r="H128" s="31" t="s">
        <v>1724</v>
      </c>
      <c r="I128" s="16" t="s">
        <v>1327</v>
      </c>
      <c r="J128" s="16">
        <v>20</v>
      </c>
      <c r="K128" s="258" t="s">
        <v>680</v>
      </c>
    </row>
    <row r="129" spans="1:29">
      <c r="A129" s="46"/>
      <c r="B129" s="47"/>
      <c r="C129" s="46"/>
      <c r="D129" s="46" t="s">
        <v>1535</v>
      </c>
      <c r="E129" s="46" t="s">
        <v>74</v>
      </c>
      <c r="F129" s="46" t="s">
        <v>1595</v>
      </c>
      <c r="G129" s="233" t="s">
        <v>75</v>
      </c>
      <c r="H129" s="251" t="s">
        <v>1596</v>
      </c>
      <c r="I129" s="47" t="s">
        <v>1327</v>
      </c>
      <c r="J129" s="47">
        <v>20</v>
      </c>
      <c r="K129" s="46" t="s">
        <v>682</v>
      </c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</row>
    <row r="130" spans="1:29">
      <c r="A130" s="16"/>
      <c r="B130" s="16"/>
      <c r="C130" s="258"/>
      <c r="D130" s="16" t="s">
        <v>1535</v>
      </c>
      <c r="E130" s="258" t="s">
        <v>74</v>
      </c>
      <c r="F130" s="258" t="s">
        <v>671</v>
      </c>
      <c r="G130" s="146" t="s">
        <v>75</v>
      </c>
      <c r="H130" s="31" t="s">
        <v>1576</v>
      </c>
      <c r="I130" s="16" t="s">
        <v>1327</v>
      </c>
      <c r="J130" s="16">
        <v>40</v>
      </c>
      <c r="K130" s="258" t="s">
        <v>669</v>
      </c>
    </row>
    <row r="131" spans="1:29">
      <c r="A131" s="16"/>
      <c r="B131" s="16"/>
      <c r="C131" s="258"/>
      <c r="D131" s="16" t="s">
        <v>1535</v>
      </c>
      <c r="E131" s="258" t="s">
        <v>74</v>
      </c>
      <c r="F131" s="258" t="s">
        <v>686</v>
      </c>
      <c r="G131" s="146" t="s">
        <v>75</v>
      </c>
      <c r="H131" s="31" t="s">
        <v>1578</v>
      </c>
      <c r="I131" s="16" t="s">
        <v>1327</v>
      </c>
      <c r="J131" s="16">
        <v>40</v>
      </c>
      <c r="K131" s="258" t="s">
        <v>685</v>
      </c>
    </row>
    <row r="132" spans="1:29">
      <c r="A132" s="16"/>
      <c r="B132" s="16"/>
      <c r="C132" s="285"/>
      <c r="D132" s="16" t="s">
        <v>1535</v>
      </c>
      <c r="E132" s="258" t="s">
        <v>74</v>
      </c>
      <c r="F132" s="285" t="s">
        <v>700</v>
      </c>
      <c r="G132" s="146" t="s">
        <v>75</v>
      </c>
      <c r="H132" s="146" t="s">
        <v>1580</v>
      </c>
      <c r="I132" s="16" t="s">
        <v>1327</v>
      </c>
      <c r="J132" s="16">
        <v>40</v>
      </c>
      <c r="K132" s="285"/>
    </row>
    <row r="133" spans="1:29">
      <c r="A133" s="16"/>
      <c r="B133" s="16"/>
      <c r="C133" s="285"/>
      <c r="D133" s="16" t="s">
        <v>1535</v>
      </c>
      <c r="E133" s="258" t="s">
        <v>74</v>
      </c>
      <c r="F133" s="285" t="s">
        <v>702</v>
      </c>
      <c r="G133" s="146" t="s">
        <v>75</v>
      </c>
      <c r="H133" s="146" t="s">
        <v>1583</v>
      </c>
      <c r="I133" s="16" t="s">
        <v>1327</v>
      </c>
      <c r="J133" s="16">
        <v>40</v>
      </c>
      <c r="K133" s="285"/>
    </row>
    <row r="134" spans="1:29">
      <c r="A134" s="16"/>
      <c r="B134" s="16"/>
      <c r="C134" s="285"/>
      <c r="D134" s="16" t="s">
        <v>1535</v>
      </c>
      <c r="E134" s="258" t="s">
        <v>74</v>
      </c>
      <c r="F134" s="285" t="s">
        <v>704</v>
      </c>
      <c r="G134" s="146" t="s">
        <v>75</v>
      </c>
      <c r="H134" s="146" t="s">
        <v>1586</v>
      </c>
      <c r="I134" s="16" t="s">
        <v>1327</v>
      </c>
      <c r="J134" s="16">
        <v>1000</v>
      </c>
      <c r="K134" s="285"/>
    </row>
    <row r="135" spans="1:29">
      <c r="A135" s="16" t="s">
        <v>512</v>
      </c>
      <c r="B135" s="16" t="s">
        <v>626</v>
      </c>
      <c r="C135" s="285" t="s">
        <v>596</v>
      </c>
      <c r="D135" s="16" t="s">
        <v>1128</v>
      </c>
      <c r="E135" s="258" t="s">
        <v>74</v>
      </c>
      <c r="F135" s="285" t="s">
        <v>854</v>
      </c>
      <c r="G135" s="146" t="s">
        <v>75</v>
      </c>
      <c r="H135" s="146" t="s">
        <v>1353</v>
      </c>
      <c r="I135" s="16" t="s">
        <v>1327</v>
      </c>
      <c r="J135" s="16">
        <v>40</v>
      </c>
      <c r="K135" s="285" t="s">
        <v>881</v>
      </c>
    </row>
    <row r="136" spans="1:29">
      <c r="A136" s="16" t="s">
        <v>512</v>
      </c>
      <c r="B136" s="16" t="s">
        <v>626</v>
      </c>
      <c r="C136" s="285" t="s">
        <v>604</v>
      </c>
      <c r="D136" s="16" t="s">
        <v>1128</v>
      </c>
      <c r="E136" s="258" t="s">
        <v>74</v>
      </c>
      <c r="F136" s="285" t="s">
        <v>772</v>
      </c>
      <c r="G136" s="146" t="s">
        <v>75</v>
      </c>
      <c r="H136" s="146" t="s">
        <v>1377</v>
      </c>
      <c r="I136" s="16" t="s">
        <v>1327</v>
      </c>
      <c r="J136" s="16">
        <v>40</v>
      </c>
      <c r="K136" s="285" t="s">
        <v>899</v>
      </c>
    </row>
    <row r="137" spans="1:29">
      <c r="A137" s="16"/>
      <c r="B137" s="16"/>
      <c r="C137" s="285"/>
      <c r="D137" s="16" t="s">
        <v>1535</v>
      </c>
      <c r="E137" s="258" t="s">
        <v>74</v>
      </c>
      <c r="F137" s="285" t="s">
        <v>917</v>
      </c>
      <c r="G137" s="146" t="s">
        <v>75</v>
      </c>
      <c r="H137" s="146" t="s">
        <v>2114</v>
      </c>
      <c r="I137" s="16" t="s">
        <v>1327</v>
      </c>
      <c r="J137" s="16">
        <v>40</v>
      </c>
      <c r="K137" s="285" t="s">
        <v>916</v>
      </c>
    </row>
    <row r="138" spans="1:29">
      <c r="A138" s="258"/>
      <c r="B138" s="16"/>
      <c r="C138" s="258"/>
      <c r="D138" s="258" t="s">
        <v>1535</v>
      </c>
      <c r="E138" s="258" t="s">
        <v>74</v>
      </c>
      <c r="F138" s="258" t="s">
        <v>711</v>
      </c>
      <c r="G138" s="146" t="s">
        <v>75</v>
      </c>
      <c r="H138" s="31" t="s">
        <v>1668</v>
      </c>
      <c r="I138" s="16" t="s">
        <v>1327</v>
      </c>
      <c r="J138" s="16">
        <v>20</v>
      </c>
      <c r="K138" s="258" t="s">
        <v>710</v>
      </c>
    </row>
    <row r="139" spans="1:29">
      <c r="A139" s="258"/>
      <c r="B139" s="16"/>
      <c r="C139" s="258"/>
      <c r="D139" s="258" t="s">
        <v>1535</v>
      </c>
      <c r="E139" s="258" t="s">
        <v>74</v>
      </c>
      <c r="F139" s="258" t="s">
        <v>713</v>
      </c>
      <c r="G139" s="146" t="s">
        <v>75</v>
      </c>
      <c r="H139" s="31" t="s">
        <v>1671</v>
      </c>
      <c r="I139" s="16" t="s">
        <v>1327</v>
      </c>
      <c r="J139" s="16">
        <v>20</v>
      </c>
      <c r="K139" s="258" t="s">
        <v>712</v>
      </c>
    </row>
    <row r="140" spans="1:29">
      <c r="A140" s="258"/>
      <c r="B140" s="16"/>
      <c r="C140" s="258"/>
      <c r="D140" s="258" t="s">
        <v>1535</v>
      </c>
      <c r="E140" s="258" t="s">
        <v>74</v>
      </c>
      <c r="F140" s="258" t="s">
        <v>722</v>
      </c>
      <c r="G140" s="146" t="s">
        <v>75</v>
      </c>
      <c r="H140" s="31" t="s">
        <v>1651</v>
      </c>
      <c r="I140" s="16" t="s">
        <v>1327</v>
      </c>
      <c r="J140" s="16">
        <v>20</v>
      </c>
      <c r="K140" s="258" t="s">
        <v>720</v>
      </c>
    </row>
    <row r="141" spans="1:29">
      <c r="A141" s="258"/>
      <c r="B141" s="16"/>
      <c r="C141" s="258"/>
      <c r="D141" s="258" t="s">
        <v>1535</v>
      </c>
      <c r="E141" s="258" t="s">
        <v>74</v>
      </c>
      <c r="F141" s="258" t="s">
        <v>724</v>
      </c>
      <c r="G141" s="146" t="s">
        <v>75</v>
      </c>
      <c r="H141" s="31" t="s">
        <v>1674</v>
      </c>
      <c r="I141" s="16" t="s">
        <v>519</v>
      </c>
      <c r="J141" s="16"/>
      <c r="K141" s="258" t="s">
        <v>723</v>
      </c>
    </row>
    <row r="142" spans="1:29">
      <c r="A142" s="258"/>
      <c r="B142" s="16"/>
      <c r="C142" s="258"/>
      <c r="D142" s="258" t="s">
        <v>1535</v>
      </c>
      <c r="E142" s="258" t="s">
        <v>74</v>
      </c>
      <c r="F142" s="13" t="s">
        <v>1486</v>
      </c>
      <c r="G142" s="146" t="s">
        <v>75</v>
      </c>
      <c r="H142" s="31" t="s">
        <v>1485</v>
      </c>
      <c r="I142" s="16" t="s">
        <v>1327</v>
      </c>
      <c r="J142" s="16">
        <v>20</v>
      </c>
      <c r="K142" s="258" t="s">
        <v>758</v>
      </c>
    </row>
    <row r="143" spans="1:29">
      <c r="A143" s="258"/>
      <c r="B143" s="16"/>
      <c r="C143" s="258"/>
      <c r="D143" s="258" t="s">
        <v>1535</v>
      </c>
      <c r="E143" s="258" t="s">
        <v>74</v>
      </c>
      <c r="F143" s="16" t="s">
        <v>2118</v>
      </c>
      <c r="G143" s="146" t="s">
        <v>75</v>
      </c>
      <c r="H143" s="31" t="s">
        <v>2119</v>
      </c>
      <c r="I143" s="16"/>
      <c r="J143" s="16"/>
      <c r="K143" s="258" t="s">
        <v>2120</v>
      </c>
    </row>
    <row r="144" spans="1:29">
      <c r="A144" s="258" t="s">
        <v>512</v>
      </c>
      <c r="B144" s="16" t="s">
        <v>626</v>
      </c>
      <c r="C144" s="258" t="s">
        <v>627</v>
      </c>
      <c r="D144" s="16"/>
      <c r="E144" s="258" t="s">
        <v>74</v>
      </c>
      <c r="F144" s="13" t="s">
        <v>948</v>
      </c>
      <c r="G144" s="146" t="s">
        <v>75</v>
      </c>
      <c r="H144" s="31" t="s">
        <v>1528</v>
      </c>
      <c r="I144" s="16" t="s">
        <v>1327</v>
      </c>
      <c r="J144" s="16">
        <v>20</v>
      </c>
      <c r="K144" s="16" t="s">
        <v>962</v>
      </c>
    </row>
    <row r="145" spans="1:11">
      <c r="A145" s="16"/>
      <c r="B145" s="16"/>
      <c r="C145" s="16"/>
      <c r="D145" s="16" t="s">
        <v>2122</v>
      </c>
      <c r="E145" s="258" t="s">
        <v>74</v>
      </c>
      <c r="F145" s="16" t="s">
        <v>1290</v>
      </c>
      <c r="G145" s="146" t="s">
        <v>75</v>
      </c>
      <c r="H145" s="16" t="s">
        <v>1291</v>
      </c>
      <c r="I145" s="16" t="s">
        <v>519</v>
      </c>
      <c r="J145" s="16">
        <v>8</v>
      </c>
      <c r="K145" s="16" t="s">
        <v>1292</v>
      </c>
    </row>
    <row r="146" spans="1:11">
      <c r="A146" s="16"/>
      <c r="B146" s="16"/>
      <c r="C146" s="16"/>
      <c r="D146" s="16" t="s">
        <v>1293</v>
      </c>
      <c r="E146" s="258" t="s">
        <v>74</v>
      </c>
      <c r="F146" s="16" t="s">
        <v>1294</v>
      </c>
      <c r="G146" s="146" t="s">
        <v>75</v>
      </c>
      <c r="H146" s="16" t="s">
        <v>1295</v>
      </c>
      <c r="I146" s="16" t="s">
        <v>519</v>
      </c>
      <c r="J146" s="16">
        <v>8</v>
      </c>
      <c r="K146" s="16" t="s">
        <v>1296</v>
      </c>
    </row>
    <row r="147" spans="1:11">
      <c r="A147" s="16"/>
      <c r="B147" s="16"/>
      <c r="C147" s="16"/>
      <c r="D147" s="16" t="s">
        <v>1297</v>
      </c>
      <c r="E147" s="258" t="s">
        <v>74</v>
      </c>
      <c r="F147" s="16" t="s">
        <v>1298</v>
      </c>
      <c r="G147" s="146" t="s">
        <v>75</v>
      </c>
      <c r="H147" s="16" t="s">
        <v>1299</v>
      </c>
      <c r="I147" s="16" t="s">
        <v>519</v>
      </c>
      <c r="J147" s="16">
        <v>8</v>
      </c>
      <c r="K147" s="16" t="s">
        <v>1300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M22"/>
  <sheetViews>
    <sheetView workbookViewId="0"/>
  </sheetViews>
  <sheetFormatPr defaultColWidth="14.42578125" defaultRowHeight="15" customHeight="1"/>
  <cols>
    <col min="1" max="1" width="16.5703125" style="259" customWidth="1"/>
    <col min="2" max="2" width="29.5703125" style="259" customWidth="1"/>
    <col min="3" max="3" width="23.5703125" style="259" customWidth="1"/>
    <col min="4" max="4" width="46.5703125" style="259" customWidth="1"/>
    <col min="5" max="5" width="24.5703125" style="259" customWidth="1"/>
    <col min="6" max="6" width="42.28515625" style="259" customWidth="1"/>
    <col min="7" max="7" width="16.42578125" style="259" customWidth="1"/>
    <col min="8" max="8" width="37.28515625" style="259" customWidth="1"/>
    <col min="9" max="9" width="12.140625" style="259" customWidth="1"/>
    <col min="10" max="10" width="10.42578125" style="259" customWidth="1"/>
    <col min="11" max="11" width="34" style="259" customWidth="1"/>
  </cols>
  <sheetData>
    <row r="1" spans="1:13">
      <c r="A1" s="34" t="s">
        <v>1923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58" t="s">
        <v>505</v>
      </c>
      <c r="B3" s="16" t="s">
        <v>506</v>
      </c>
      <c r="C3" s="281" t="s">
        <v>1061</v>
      </c>
      <c r="D3" s="281" t="s">
        <v>2134</v>
      </c>
      <c r="E3" s="28"/>
      <c r="F3" s="28"/>
      <c r="G3" s="28"/>
      <c r="H3" s="28"/>
      <c r="I3" s="28"/>
      <c r="J3" s="28"/>
      <c r="K3" s="28"/>
    </row>
    <row r="4" spans="1:13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13">
      <c r="A5" s="34" t="s">
        <v>1058</v>
      </c>
      <c r="B5" s="34" t="s">
        <v>1059</v>
      </c>
      <c r="C5" s="34" t="s">
        <v>1065</v>
      </c>
      <c r="D5" s="34" t="s">
        <v>1066</v>
      </c>
      <c r="E5" s="34" t="s">
        <v>1067</v>
      </c>
      <c r="F5" s="34" t="s">
        <v>1068</v>
      </c>
      <c r="G5" s="34" t="s">
        <v>1069</v>
      </c>
      <c r="H5" s="34" t="s">
        <v>1070</v>
      </c>
      <c r="I5" s="34" t="s">
        <v>1071</v>
      </c>
      <c r="J5" s="34" t="s">
        <v>1072</v>
      </c>
      <c r="K5" s="34" t="s">
        <v>1073</v>
      </c>
    </row>
    <row r="6" spans="1:13">
      <c r="A6" s="258" t="s">
        <v>505</v>
      </c>
      <c r="B6" s="16" t="s">
        <v>506</v>
      </c>
      <c r="C6" s="258" t="s">
        <v>508</v>
      </c>
      <c r="D6" s="258" t="s">
        <v>1128</v>
      </c>
      <c r="E6" s="258" t="s">
        <v>202</v>
      </c>
      <c r="F6" s="13" t="s">
        <v>739</v>
      </c>
      <c r="G6" s="146" t="s">
        <v>203</v>
      </c>
      <c r="H6" s="31" t="s">
        <v>2135</v>
      </c>
      <c r="I6" s="16" t="s">
        <v>1106</v>
      </c>
      <c r="J6" s="16">
        <v>25.5</v>
      </c>
      <c r="K6" s="258" t="s">
        <v>738</v>
      </c>
      <c r="M6" s="13" t="str">
        <f>"COMMENT ON COLUMN PG_SILVER."&amp;G6&amp;"."&amp;H6&amp;" IS '"&amp;K6&amp;"';"</f>
        <v>COMMENT ON COLUMN PG_SILVER.AR_BAL.RCVB_AMT_LCY IS 'Số tiền dự thu';</v>
      </c>
    </row>
    <row r="7" spans="1:13">
      <c r="A7" s="258" t="s">
        <v>505</v>
      </c>
      <c r="B7" s="16" t="s">
        <v>506</v>
      </c>
      <c r="C7" s="258" t="s">
        <v>457</v>
      </c>
      <c r="D7" s="258" t="s">
        <v>1128</v>
      </c>
      <c r="E7" s="258" t="s">
        <v>202</v>
      </c>
      <c r="F7" s="258" t="s">
        <v>741</v>
      </c>
      <c r="G7" s="146" t="s">
        <v>203</v>
      </c>
      <c r="H7" s="146" t="s">
        <v>300</v>
      </c>
      <c r="I7" s="16" t="s">
        <v>1106</v>
      </c>
      <c r="J7" s="16">
        <v>25.5</v>
      </c>
      <c r="K7" s="258" t="s">
        <v>740</v>
      </c>
      <c r="M7" s="13" t="str">
        <f>"COMMENT ON COLUMN PG_SILVER."&amp;G7&amp;"."&amp;H7&amp;" IS '"&amp;K7&amp;"';"</f>
        <v>COMMENT ON COLUMN PG_SILVER.AR_BAL.CLS_BAL_LCY IS 'Dư Nợ quy đổi';</v>
      </c>
    </row>
    <row r="8" spans="1:13">
      <c r="A8" s="258" t="s">
        <v>505</v>
      </c>
      <c r="B8" s="16" t="s">
        <v>506</v>
      </c>
      <c r="C8" s="258" t="s">
        <v>509</v>
      </c>
      <c r="D8" s="258" t="s">
        <v>1128</v>
      </c>
      <c r="E8" s="258" t="s">
        <v>202</v>
      </c>
      <c r="F8" s="258" t="s">
        <v>743</v>
      </c>
      <c r="G8" s="146" t="s">
        <v>203</v>
      </c>
      <c r="H8" s="146" t="s">
        <v>1526</v>
      </c>
      <c r="I8" s="16" t="s">
        <v>1327</v>
      </c>
      <c r="J8" s="16">
        <v>20</v>
      </c>
      <c r="K8" s="258" t="s">
        <v>742</v>
      </c>
      <c r="M8" s="13" t="str">
        <f>"COMMENT ON COLUMN PG_SILVER."&amp;G8&amp;"."&amp;H8&amp;" IS '"&amp;K8&amp;"';"</f>
        <v>COMMENT ON COLUMN PG_SILVER.AR_BAL.MUD_CODE IS 'Mã phân hệ: LD, MD, AC, PD';</v>
      </c>
    </row>
    <row r="9" spans="1:13">
      <c r="A9" s="258" t="s">
        <v>505</v>
      </c>
      <c r="B9" s="16" t="s">
        <v>506</v>
      </c>
      <c r="C9" s="258" t="s">
        <v>511</v>
      </c>
      <c r="D9" s="258" t="s">
        <v>1128</v>
      </c>
      <c r="E9" s="258" t="s">
        <v>202</v>
      </c>
      <c r="F9" s="258" t="s">
        <v>928</v>
      </c>
      <c r="G9" s="146" t="s">
        <v>203</v>
      </c>
      <c r="H9" s="146" t="s">
        <v>1082</v>
      </c>
      <c r="I9" s="16" t="s">
        <v>1327</v>
      </c>
      <c r="J9" s="16">
        <v>40</v>
      </c>
      <c r="K9" s="258" t="s">
        <v>249</v>
      </c>
      <c r="M9" s="13" t="str">
        <f>"COMMENT ON COLUMN PG_SILVER."&amp;G9&amp;"."&amp;H9&amp;" IS '"&amp;K9&amp;"';"</f>
        <v>COMMENT ON COLUMN PG_SILVER.AR_BAL.AR_CODE IS 'Mã hợp đồng';</v>
      </c>
    </row>
    <row r="10" spans="1:13">
      <c r="A10" s="258" t="s">
        <v>505</v>
      </c>
      <c r="B10" s="16" t="s">
        <v>506</v>
      </c>
      <c r="C10" s="258" t="s">
        <v>511</v>
      </c>
      <c r="D10" s="258" t="s">
        <v>1126</v>
      </c>
      <c r="E10" s="258" t="s">
        <v>202</v>
      </c>
      <c r="F10" s="258" t="s">
        <v>1243</v>
      </c>
      <c r="G10" s="146" t="s">
        <v>203</v>
      </c>
      <c r="H10" s="146" t="s">
        <v>1078</v>
      </c>
      <c r="I10" s="16" t="s">
        <v>2136</v>
      </c>
      <c r="J10" s="16">
        <v>32</v>
      </c>
      <c r="K10" s="258" t="s">
        <v>2137</v>
      </c>
      <c r="M10" s="13" t="str">
        <f>"COMMENT ON COLUMN PG_SILVER."&amp;G10&amp;"."&amp;H10&amp;" IS '"&amp;K10&amp;"';"</f>
        <v>COMMENT ON COLUMN PG_SILVER.AR_BAL.AR_ID IS 'ID hợp đồng trên DWH';</v>
      </c>
    </row>
    <row r="11" spans="1:13">
      <c r="A11" s="258" t="s">
        <v>505</v>
      </c>
      <c r="B11" s="16" t="s">
        <v>506</v>
      </c>
      <c r="C11" s="258" t="s">
        <v>515</v>
      </c>
      <c r="D11" s="258" t="s">
        <v>1128</v>
      </c>
      <c r="E11" s="258" t="s">
        <v>202</v>
      </c>
      <c r="F11" s="258" t="s">
        <v>746</v>
      </c>
      <c r="G11" s="146" t="s">
        <v>203</v>
      </c>
      <c r="H11" s="146" t="s">
        <v>2138</v>
      </c>
      <c r="I11" s="16" t="s">
        <v>1327</v>
      </c>
      <c r="J11" s="16">
        <v>20</v>
      </c>
      <c r="K11" s="258" t="s">
        <v>745</v>
      </c>
      <c r="M11" s="13" t="str">
        <f>"COMMENT ON COLUMN PG_SILVER."&amp;G11&amp;"."&amp;H11&amp;" IS '"&amp;K11&amp;"';"</f>
        <v>COMMENT ON COLUMN PG_SILVER.AR_BAL.AST_TP_CODE IS 'Loại dư nợ, hạch toán';</v>
      </c>
    </row>
    <row r="12" spans="1:13">
      <c r="A12" s="258" t="s">
        <v>505</v>
      </c>
      <c r="B12" s="16" t="s">
        <v>506</v>
      </c>
      <c r="C12" s="258" t="s">
        <v>516</v>
      </c>
      <c r="D12" s="258" t="s">
        <v>1128</v>
      </c>
      <c r="E12" s="258" t="s">
        <v>202</v>
      </c>
      <c r="F12" s="13" t="s">
        <v>748</v>
      </c>
      <c r="G12" s="146" t="s">
        <v>203</v>
      </c>
      <c r="H12" s="126" t="s">
        <v>1517</v>
      </c>
      <c r="I12" s="16" t="s">
        <v>1327</v>
      </c>
      <c r="J12" s="16">
        <v>20</v>
      </c>
      <c r="K12" s="258" t="s">
        <v>747</v>
      </c>
      <c r="M12" s="13" t="str">
        <f>"COMMENT ON COLUMN PG_SILVER."&amp;G12&amp;"."&amp;H12&amp;" IS '"&amp;K12&amp;"';"</f>
        <v>COMMENT ON COLUMN PG_SILVER.AR_BAL.PD_CGY_CODE IS 'Mã phân loại sản phẩm';</v>
      </c>
    </row>
    <row r="13" spans="1:13">
      <c r="A13" s="258" t="s">
        <v>505</v>
      </c>
      <c r="B13" s="16" t="s">
        <v>506</v>
      </c>
      <c r="C13" s="258" t="s">
        <v>460</v>
      </c>
      <c r="D13" s="258" t="s">
        <v>1128</v>
      </c>
      <c r="E13" s="258" t="s">
        <v>202</v>
      </c>
      <c r="F13" s="258" t="s">
        <v>750</v>
      </c>
      <c r="G13" s="146" t="s">
        <v>203</v>
      </c>
      <c r="H13" s="146" t="s">
        <v>1358</v>
      </c>
      <c r="I13" s="16" t="s">
        <v>1327</v>
      </c>
      <c r="J13" s="16">
        <v>20</v>
      </c>
      <c r="K13" s="258" t="s">
        <v>749</v>
      </c>
      <c r="M13" s="13" t="str">
        <f>"COMMENT ON COLUMN PG_SILVER."&amp;G13&amp;"."&amp;H13&amp;" IS '"&amp;K13&amp;"';"</f>
        <v>COMMENT ON COLUMN PG_SILVER.AR_BAL.OU_CODE IS 'Mã chi nhánh hạch toán';</v>
      </c>
    </row>
    <row r="14" spans="1:13">
      <c r="A14" s="258" t="s">
        <v>505</v>
      </c>
      <c r="B14" s="16" t="s">
        <v>506</v>
      </c>
      <c r="C14" s="258" t="s">
        <v>751</v>
      </c>
      <c r="D14" s="258" t="s">
        <v>1128</v>
      </c>
      <c r="E14" s="258" t="s">
        <v>202</v>
      </c>
      <c r="F14" s="258" t="s">
        <v>752</v>
      </c>
      <c r="G14" s="146" t="s">
        <v>203</v>
      </c>
      <c r="H14" s="146" t="s">
        <v>281</v>
      </c>
      <c r="I14" s="16" t="s">
        <v>1327</v>
      </c>
      <c r="J14" s="16">
        <v>20</v>
      </c>
      <c r="K14" s="258" t="s">
        <v>282</v>
      </c>
      <c r="M14" s="13" t="str">
        <f>"COMMENT ON COLUMN PG_SILVER."&amp;G14&amp;"."&amp;H14&amp;" IS '"&amp;K14&amp;"';"</f>
        <v>COMMENT ON COLUMN PG_SILVER.AR_BAL.CCY_CODE IS 'Loại tiền';</v>
      </c>
    </row>
    <row r="15" spans="1:13">
      <c r="A15" s="258" t="s">
        <v>505</v>
      </c>
      <c r="B15" s="16" t="s">
        <v>506</v>
      </c>
      <c r="C15" s="258" t="s">
        <v>518</v>
      </c>
      <c r="D15" s="258" t="s">
        <v>1128</v>
      </c>
      <c r="E15" s="258" t="s">
        <v>202</v>
      </c>
      <c r="F15" s="258" t="s">
        <v>847</v>
      </c>
      <c r="G15" s="146" t="s">
        <v>203</v>
      </c>
      <c r="H15" s="146" t="s">
        <v>253</v>
      </c>
      <c r="I15" s="16" t="s">
        <v>1327</v>
      </c>
      <c r="J15" s="16">
        <v>20</v>
      </c>
      <c r="K15" s="258" t="s">
        <v>254</v>
      </c>
      <c r="M15" s="13" t="str">
        <f>"COMMENT ON COLUMN PG_SILVER."&amp;G15&amp;"."&amp;H15&amp;" IS '"&amp;K15&amp;"';"</f>
        <v>COMMENT ON COLUMN PG_SILVER.AR_BAL.CST_CODE IS 'Mã khách hàng';</v>
      </c>
    </row>
    <row r="16" spans="1:13">
      <c r="A16" s="258" t="s">
        <v>505</v>
      </c>
      <c r="B16" s="16" t="s">
        <v>506</v>
      </c>
      <c r="C16" s="258" t="s">
        <v>518</v>
      </c>
      <c r="D16" s="258" t="s">
        <v>2066</v>
      </c>
      <c r="E16" s="258" t="s">
        <v>202</v>
      </c>
      <c r="F16" s="258" t="s">
        <v>1284</v>
      </c>
      <c r="G16" s="146" t="s">
        <v>203</v>
      </c>
      <c r="H16" s="146" t="s">
        <v>1285</v>
      </c>
      <c r="I16" s="16" t="s">
        <v>2136</v>
      </c>
      <c r="J16" s="16">
        <v>32</v>
      </c>
      <c r="K16" s="258" t="s">
        <v>2139</v>
      </c>
      <c r="M16" s="13" t="str">
        <f>"COMMENT ON COLUMN PG_SILVER."&amp;G16&amp;"."&amp;H16&amp;" IS '"&amp;K16&amp;"';"</f>
        <v>COMMENT ON COLUMN PG_SILVER.AR_BAL.CST_ID IS 'ID khách hàng trên DWH';</v>
      </c>
    </row>
    <row r="17" spans="1:13">
      <c r="A17" s="258" t="s">
        <v>505</v>
      </c>
      <c r="B17" s="16" t="s">
        <v>506</v>
      </c>
      <c r="C17" s="258" t="s">
        <v>520</v>
      </c>
      <c r="D17" s="258" t="s">
        <v>1128</v>
      </c>
      <c r="E17" s="258" t="s">
        <v>202</v>
      </c>
      <c r="F17" s="258" t="s">
        <v>756</v>
      </c>
      <c r="G17" s="146" t="s">
        <v>203</v>
      </c>
      <c r="H17" s="146" t="s">
        <v>1537</v>
      </c>
      <c r="I17" s="16" t="s">
        <v>1327</v>
      </c>
      <c r="J17" s="16">
        <v>20</v>
      </c>
      <c r="K17" s="258" t="s">
        <v>1538</v>
      </c>
      <c r="M17" s="13" t="str">
        <f>"COMMENT ON COLUMN PG_SILVER."&amp;G17&amp;"."&amp;H17&amp;" IS '"&amp;K17&amp;"';"</f>
        <v>COMMENT ON COLUMN PG_SILVER.AR_BAL.AR_TERM_TP_CODE IS 'Mã nhóm kỳ hạn';</v>
      </c>
    </row>
    <row r="18" spans="1:13">
      <c r="A18" s="258" t="s">
        <v>505</v>
      </c>
      <c r="B18" s="16" t="s">
        <v>506</v>
      </c>
      <c r="C18" s="258" t="s">
        <v>522</v>
      </c>
      <c r="D18" s="258" t="s">
        <v>1128</v>
      </c>
      <c r="E18" s="258" t="s">
        <v>202</v>
      </c>
      <c r="F18" s="258" t="s">
        <v>1486</v>
      </c>
      <c r="G18" s="146" t="s">
        <v>203</v>
      </c>
      <c r="H18" s="31" t="s">
        <v>1485</v>
      </c>
      <c r="I18" s="16" t="s">
        <v>1327</v>
      </c>
      <c r="J18" s="16">
        <v>20</v>
      </c>
      <c r="K18" s="258" t="s">
        <v>758</v>
      </c>
      <c r="M18" s="13" t="str">
        <f>"COMMENT ON COLUMN PG_SILVER."&amp;G18&amp;"."&amp;H18&amp;" IS '"&amp;K18&amp;"';"</f>
        <v>COMMENT ON COLUMN PG_SILVER.AR_BAL.GL_ITM_CODE IS 'Mã hạch toán theo SBV';</v>
      </c>
    </row>
    <row r="19" spans="1:13">
      <c r="A19" s="258" t="s">
        <v>505</v>
      </c>
      <c r="B19" s="16" t="s">
        <v>506</v>
      </c>
      <c r="C19" s="258" t="s">
        <v>522</v>
      </c>
      <c r="D19" s="258"/>
      <c r="E19" s="258" t="s">
        <v>202</v>
      </c>
      <c r="F19" s="258" t="s">
        <v>2118</v>
      </c>
      <c r="G19" s="146" t="s">
        <v>203</v>
      </c>
      <c r="H19" s="31" t="s">
        <v>2119</v>
      </c>
      <c r="I19" s="16" t="s">
        <v>2136</v>
      </c>
      <c r="J19" s="16">
        <v>32</v>
      </c>
      <c r="K19" s="258" t="s">
        <v>2120</v>
      </c>
      <c r="M19" s="13" t="str">
        <f>"COMMENT ON COLUMN PG_SILVER."&amp;G19&amp;"."&amp;H19&amp;" IS '"&amp;K19&amp;"';"</f>
        <v>COMMENT ON COLUMN PG_SILVER.AR_BAL.GL_ITM_ID IS 'ID Mã hạch toán theo SBV';</v>
      </c>
    </row>
    <row r="20" spans="1:13">
      <c r="A20" s="258" t="s">
        <v>505</v>
      </c>
      <c r="B20" s="16" t="s">
        <v>506</v>
      </c>
      <c r="C20" s="258" t="s">
        <v>760</v>
      </c>
      <c r="D20" s="258" t="s">
        <v>1128</v>
      </c>
      <c r="E20" s="258" t="s">
        <v>202</v>
      </c>
      <c r="F20" s="258" t="s">
        <v>762</v>
      </c>
      <c r="G20" s="146" t="s">
        <v>203</v>
      </c>
      <c r="H20" s="146" t="s">
        <v>1522</v>
      </c>
      <c r="I20" s="16" t="s">
        <v>1327</v>
      </c>
      <c r="J20" s="16">
        <v>20</v>
      </c>
      <c r="K20" s="258" t="s">
        <v>761</v>
      </c>
      <c r="M20" s="13" t="str">
        <f>"COMMENT ON COLUMN PG_SILVER."&amp;G20&amp;"."&amp;H20&amp;" IS '"&amp;K20&amp;"';"</f>
        <v>COMMENT ON COLUMN PG_SILVER.AR_BAL.SUB_PD_CODE IS 'Mã sản phẩm con';</v>
      </c>
    </row>
    <row r="21" spans="1:13">
      <c r="A21" s="258" t="s">
        <v>505</v>
      </c>
      <c r="B21" s="16" t="s">
        <v>506</v>
      </c>
      <c r="C21" s="258" t="s">
        <v>503</v>
      </c>
      <c r="D21" s="16" t="s">
        <v>1128</v>
      </c>
      <c r="E21" s="258" t="s">
        <v>202</v>
      </c>
      <c r="F21" s="258" t="s">
        <v>764</v>
      </c>
      <c r="G21" s="146" t="s">
        <v>203</v>
      </c>
      <c r="H21" s="146" t="s">
        <v>246</v>
      </c>
      <c r="I21" s="16" t="s">
        <v>519</v>
      </c>
      <c r="J21" s="16"/>
      <c r="K21" s="258" t="s">
        <v>763</v>
      </c>
      <c r="M21" s="13" t="str">
        <f>"COMMENT ON COLUMN PG_SILVER."&amp;G21&amp;"."&amp;H21&amp;" IS '"&amp;K21&amp;"';"</f>
        <v>COMMENT ON COLUMN PG_SILVER.AR_BAL.CDR_DT IS 'Ngày giao dịch';</v>
      </c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C57"/>
  <sheetViews>
    <sheetView workbookViewId="0"/>
  </sheetViews>
  <sheetFormatPr defaultColWidth="14.42578125" defaultRowHeight="15" customHeight="1"/>
  <cols>
    <col min="1" max="1" width="16.5703125" style="259" customWidth="1"/>
    <col min="2" max="2" width="38" style="259" customWidth="1"/>
    <col min="3" max="3" width="38.85546875" style="259" customWidth="1"/>
    <col min="4" max="4" width="45.28515625" style="259" customWidth="1"/>
    <col min="5" max="5" width="24.5703125" style="259" customWidth="1"/>
    <col min="6" max="6" width="42.28515625" style="259" customWidth="1"/>
    <col min="7" max="7" width="16.42578125" style="259" customWidth="1"/>
    <col min="8" max="8" width="37.28515625" style="259" customWidth="1"/>
    <col min="9" max="9" width="12.140625" style="259" customWidth="1"/>
    <col min="10" max="10" width="6.7109375" style="259" customWidth="1"/>
    <col min="11" max="11" width="34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258" t="s">
        <v>512</v>
      </c>
      <c r="B3" s="16" t="s">
        <v>593</v>
      </c>
      <c r="C3" s="281" t="s">
        <v>1061</v>
      </c>
      <c r="D3" s="42"/>
      <c r="E3" s="28"/>
      <c r="F3" s="28"/>
      <c r="G3" s="28"/>
      <c r="H3" s="28"/>
      <c r="I3" s="28"/>
      <c r="J3" s="28"/>
      <c r="K3" s="28"/>
    </row>
    <row r="4" spans="1:13">
      <c r="A4" s="16" t="s">
        <v>414</v>
      </c>
      <c r="B4" s="16" t="s">
        <v>422</v>
      </c>
      <c r="C4" s="281" t="s">
        <v>1501</v>
      </c>
      <c r="D4" s="281" t="s">
        <v>2140</v>
      </c>
      <c r="E4" s="281"/>
      <c r="F4" s="281"/>
      <c r="G4" s="281"/>
      <c r="H4" s="281"/>
      <c r="I4" s="281"/>
      <c r="J4" s="281"/>
      <c r="K4" s="281"/>
    </row>
    <row r="5" spans="1:13">
      <c r="A5" s="230"/>
      <c r="B5" s="230"/>
      <c r="C5" s="230"/>
      <c r="D5" s="230"/>
      <c r="E5" s="230"/>
      <c r="F5" s="230"/>
      <c r="G5" s="230"/>
      <c r="H5" s="230"/>
      <c r="I5" s="230"/>
      <c r="J5" s="230"/>
      <c r="K5" s="230"/>
    </row>
    <row r="6" spans="1:13">
      <c r="A6" s="34" t="s">
        <v>1058</v>
      </c>
      <c r="B6" s="34" t="s">
        <v>1059</v>
      </c>
      <c r="C6" s="34" t="s">
        <v>1065</v>
      </c>
      <c r="D6" s="34" t="s">
        <v>1066</v>
      </c>
      <c r="E6" s="34" t="s">
        <v>1067</v>
      </c>
      <c r="F6" s="34" t="s">
        <v>1068</v>
      </c>
      <c r="G6" s="34" t="s">
        <v>1069</v>
      </c>
      <c r="H6" s="34" t="s">
        <v>1070</v>
      </c>
      <c r="I6" s="34" t="s">
        <v>1071</v>
      </c>
      <c r="J6" s="34" t="s">
        <v>1072</v>
      </c>
      <c r="K6" s="34" t="s">
        <v>1073</v>
      </c>
    </row>
    <row r="7" spans="1:13">
      <c r="A7" s="258" t="s">
        <v>512</v>
      </c>
      <c r="B7" s="16" t="s">
        <v>593</v>
      </c>
      <c r="C7" s="258" t="s">
        <v>490</v>
      </c>
      <c r="D7" s="258" t="s">
        <v>2063</v>
      </c>
      <c r="E7" s="258" t="s">
        <v>207</v>
      </c>
      <c r="F7" s="258" t="s">
        <v>1077</v>
      </c>
      <c r="G7" s="146" t="s">
        <v>208</v>
      </c>
      <c r="H7" s="146" t="s">
        <v>1078</v>
      </c>
      <c r="I7" s="16" t="s">
        <v>1079</v>
      </c>
      <c r="J7" s="16">
        <v>32</v>
      </c>
      <c r="K7" s="16" t="s">
        <v>1733</v>
      </c>
      <c r="M7" s="13" t="str">
        <f>"COMMENT ON COLUMN PG_SILVER."&amp;G7&amp;"."&amp;H7&amp;" IS '"&amp;K7&amp;"';"</f>
        <v>COMMENT ON COLUMN PG_SILVER.AR_RATE_HIST.AR_ID IS 'Unique key trên DWH';</v>
      </c>
    </row>
    <row r="8" spans="1:13">
      <c r="A8" s="258" t="s">
        <v>512</v>
      </c>
      <c r="B8" s="16" t="s">
        <v>593</v>
      </c>
      <c r="C8" s="258" t="s">
        <v>490</v>
      </c>
      <c r="D8" s="258" t="s">
        <v>1128</v>
      </c>
      <c r="E8" s="258" t="s">
        <v>207</v>
      </c>
      <c r="F8" s="258" t="s">
        <v>928</v>
      </c>
      <c r="G8" s="146" t="s">
        <v>208</v>
      </c>
      <c r="H8" s="146" t="s">
        <v>1082</v>
      </c>
      <c r="I8" s="16" t="s">
        <v>1327</v>
      </c>
      <c r="J8" s="16">
        <v>40</v>
      </c>
      <c r="K8" s="258" t="s">
        <v>249</v>
      </c>
      <c r="M8" s="13" t="str">
        <f>"COMMENT ON COLUMN PG_SILVER."&amp;G8&amp;"."&amp;H8&amp;" IS '"&amp;K8&amp;"';"</f>
        <v>COMMENT ON COLUMN PG_SILVER.AR_RATE_HIST.AR_CODE IS 'Mã hợp đồng';</v>
      </c>
    </row>
    <row r="9" spans="1:13">
      <c r="A9" s="258" t="s">
        <v>512</v>
      </c>
      <c r="B9" s="16" t="s">
        <v>593</v>
      </c>
      <c r="C9" s="258" t="s">
        <v>606</v>
      </c>
      <c r="D9" s="258" t="s">
        <v>1128</v>
      </c>
      <c r="E9" s="258" t="s">
        <v>207</v>
      </c>
      <c r="F9" s="258" t="s">
        <v>903</v>
      </c>
      <c r="G9" s="146" t="s">
        <v>208</v>
      </c>
      <c r="H9" s="146" t="s">
        <v>2141</v>
      </c>
      <c r="I9" s="16" t="s">
        <v>1327</v>
      </c>
      <c r="J9" s="16">
        <v>20</v>
      </c>
      <c r="K9" s="258" t="s">
        <v>902</v>
      </c>
      <c r="M9" s="13" t="str">
        <f>"COMMENT ON COLUMN PG_SILVER."&amp;G9&amp;"."&amp;H9&amp;" IS '"&amp;K9&amp;"';"</f>
        <v>COMMENT ON COLUMN PG_SILVER.AR_RATE_HIST.INT_RATE_VARIABLITY_TP_CODE IS 'Loại lãi suất : Fix , float';</v>
      </c>
    </row>
    <row r="10" spans="1:13">
      <c r="A10" s="258" t="s">
        <v>512</v>
      </c>
      <c r="B10" s="16" t="s">
        <v>593</v>
      </c>
      <c r="C10" s="258" t="s">
        <v>607</v>
      </c>
      <c r="D10" s="258" t="s">
        <v>1128</v>
      </c>
      <c r="E10" s="258" t="s">
        <v>207</v>
      </c>
      <c r="F10" s="258" t="s">
        <v>905</v>
      </c>
      <c r="G10" s="146" t="s">
        <v>208</v>
      </c>
      <c r="H10" s="146" t="s">
        <v>2142</v>
      </c>
      <c r="I10" s="16" t="s">
        <v>519</v>
      </c>
      <c r="J10" s="16"/>
      <c r="K10" s="258" t="s">
        <v>904</v>
      </c>
      <c r="M10" s="13" t="str">
        <f>"COMMENT ON COLUMN PG_SILVER."&amp;G10&amp;"."&amp;H10&amp;" IS '"&amp;K10&amp;"';"</f>
        <v>COMMENT ON COLUMN PG_SILVER.AR_RATE_HIST.INT_RATE_EFF_DT IS 'Ngày hiệu lực lãi suất';</v>
      </c>
    </row>
    <row r="11" spans="1:13">
      <c r="A11" s="258" t="s">
        <v>512</v>
      </c>
      <c r="B11" s="16" t="s">
        <v>593</v>
      </c>
      <c r="C11" s="258" t="s">
        <v>608</v>
      </c>
      <c r="D11" s="258" t="s">
        <v>1128</v>
      </c>
      <c r="E11" s="258" t="s">
        <v>207</v>
      </c>
      <c r="F11" s="258" t="s">
        <v>907</v>
      </c>
      <c r="G11" s="146" t="s">
        <v>208</v>
      </c>
      <c r="H11" s="146" t="s">
        <v>1722</v>
      </c>
      <c r="I11" s="16" t="s">
        <v>1106</v>
      </c>
      <c r="J11" s="16">
        <v>10.5</v>
      </c>
      <c r="K11" s="258" t="s">
        <v>906</v>
      </c>
      <c r="M11" s="13" t="str">
        <f>"COMMENT ON COLUMN PG_SILVER."&amp;G11&amp;"."&amp;H11&amp;" IS '"&amp;K11&amp;"';"</f>
        <v>COMMENT ON COLUMN PG_SILVER.AR_RATE_HIST.EFF_RATE_PCT IS 'Giá trị lãi suất';</v>
      </c>
    </row>
    <row r="12" spans="1:13">
      <c r="A12" s="258" t="s">
        <v>512</v>
      </c>
      <c r="B12" s="16" t="s">
        <v>593</v>
      </c>
      <c r="C12" s="258" t="s">
        <v>609</v>
      </c>
      <c r="D12" s="258" t="s">
        <v>1128</v>
      </c>
      <c r="E12" s="258" t="s">
        <v>207</v>
      </c>
      <c r="F12" s="258" t="s">
        <v>909</v>
      </c>
      <c r="G12" s="146" t="s">
        <v>208</v>
      </c>
      <c r="H12" s="146" t="s">
        <v>2143</v>
      </c>
      <c r="I12" s="16" t="s">
        <v>1106</v>
      </c>
      <c r="J12" s="16">
        <v>10.5</v>
      </c>
      <c r="K12" s="258" t="s">
        <v>908</v>
      </c>
      <c r="M12" s="13" t="str">
        <f>"COMMENT ON COLUMN PG_SILVER."&amp;G12&amp;"."&amp;H12&amp;" IS '"&amp;K12&amp;"';"</f>
        <v>COMMENT ON COLUMN PG_SILVER.AR_RATE_HIST.SPRD_RATE_PCT IS 'Biên độ lãi suất';</v>
      </c>
    </row>
    <row r="13" spans="1:13">
      <c r="A13" s="258" t="s">
        <v>512</v>
      </c>
      <c r="B13" s="16" t="s">
        <v>593</v>
      </c>
      <c r="C13" s="258" t="s">
        <v>613</v>
      </c>
      <c r="D13" s="258" t="s">
        <v>1128</v>
      </c>
      <c r="E13" s="258" t="s">
        <v>207</v>
      </c>
      <c r="F13" s="258" t="s">
        <v>921</v>
      </c>
      <c r="G13" s="146" t="s">
        <v>208</v>
      </c>
      <c r="H13" s="146" t="s">
        <v>1550</v>
      </c>
      <c r="I13" s="16" t="s">
        <v>1106</v>
      </c>
      <c r="J13" s="16">
        <v>10.5</v>
      </c>
      <c r="K13" s="258" t="s">
        <v>920</v>
      </c>
      <c r="M13" s="13" t="str">
        <f>"COMMENT ON COLUMN PG_SILVER."&amp;G13&amp;"."&amp;H13&amp;" IS '"&amp;K13&amp;"';"</f>
        <v>COMMENT ON COLUMN PG_SILVER.AR_RATE_HIST.PNY_RATE IS 'Lãi phạt penalty rate';</v>
      </c>
    </row>
    <row r="14" spans="1:13">
      <c r="A14" s="258" t="s">
        <v>512</v>
      </c>
      <c r="B14" s="16" t="s">
        <v>593</v>
      </c>
      <c r="C14" s="258" t="s">
        <v>616</v>
      </c>
      <c r="D14" s="258" t="s">
        <v>1128</v>
      </c>
      <c r="E14" s="258" t="s">
        <v>207</v>
      </c>
      <c r="F14" s="258" t="s">
        <v>926</v>
      </c>
      <c r="G14" s="146" t="s">
        <v>208</v>
      </c>
      <c r="H14" s="146" t="s">
        <v>1552</v>
      </c>
      <c r="I14" s="16" t="s">
        <v>1106</v>
      </c>
      <c r="J14" s="16">
        <v>10.5</v>
      </c>
      <c r="K14" s="258" t="s">
        <v>925</v>
      </c>
      <c r="M14" s="13" t="str">
        <f>"COMMENT ON COLUMN PG_SILVER."&amp;G14&amp;"."&amp;H14&amp;" IS '"&amp;K14&amp;"';"</f>
        <v>COMMENT ON COLUMN PG_SILVER.AR_RATE_HIST.ODUE_INT_RATE IS 'Lãi suất cho quá hạn';</v>
      </c>
    </row>
    <row r="15" spans="1:13">
      <c r="A15" s="16" t="s">
        <v>414</v>
      </c>
      <c r="B15" s="16" t="s">
        <v>422</v>
      </c>
      <c r="C15" s="16" t="s">
        <v>693</v>
      </c>
      <c r="D15" s="258" t="s">
        <v>1128</v>
      </c>
      <c r="E15" s="258" t="s">
        <v>207</v>
      </c>
      <c r="F15" s="13" t="s">
        <v>695</v>
      </c>
      <c r="G15" s="146" t="s">
        <v>208</v>
      </c>
      <c r="H15" s="162" t="s">
        <v>1574</v>
      </c>
      <c r="I15" s="16" t="s">
        <v>1106</v>
      </c>
      <c r="J15" s="16">
        <v>10.5</v>
      </c>
      <c r="K15" s="13" t="s">
        <v>694</v>
      </c>
      <c r="M15" s="13" t="str">
        <f>"COMMENT ON COLUMN PG_SILVER."&amp;G15&amp;"."&amp;H15&amp;" IS '"&amp;K15&amp;"';"</f>
        <v>COMMENT ON COLUMN PG_SILVER.AR_RATE_HIST.MRGN_RATE IS 'Biên độ thay đổi lãi suất';</v>
      </c>
    </row>
    <row r="16" spans="1:13">
      <c r="A16" s="16"/>
      <c r="B16" s="16"/>
      <c r="C16" s="16"/>
      <c r="D16" s="16" t="s">
        <v>2122</v>
      </c>
      <c r="E16" s="258" t="s">
        <v>207</v>
      </c>
      <c r="F16" s="16" t="s">
        <v>1290</v>
      </c>
      <c r="G16" s="146" t="s">
        <v>208</v>
      </c>
      <c r="H16" s="16" t="s">
        <v>1291</v>
      </c>
      <c r="I16" s="16" t="s">
        <v>519</v>
      </c>
      <c r="J16" s="16"/>
      <c r="K16" s="16" t="s">
        <v>1292</v>
      </c>
      <c r="M16" s="13" t="str">
        <f>"COMMENT ON COLUMN PG_SILVER."&amp;G16&amp;"."&amp;H16&amp;" IS '"&amp;K16&amp;"';"</f>
        <v>COMMENT ON COLUMN PG_SILVER.AR_RATE_HIST.SYS_EFF_DT IS 'Ngày bản ghi lần đầu tiên vào hệ thống';</v>
      </c>
    </row>
    <row r="17" spans="1:29">
      <c r="A17" s="16"/>
      <c r="B17" s="16"/>
      <c r="C17" s="16"/>
      <c r="D17" s="16" t="s">
        <v>1293</v>
      </c>
      <c r="E17" s="258" t="s">
        <v>207</v>
      </c>
      <c r="F17" s="16" t="s">
        <v>1294</v>
      </c>
      <c r="G17" s="146" t="s">
        <v>208</v>
      </c>
      <c r="H17" s="16" t="s">
        <v>1295</v>
      </c>
      <c r="I17" s="16" t="s">
        <v>519</v>
      </c>
      <c r="J17" s="16"/>
      <c r="K17" s="16" t="s">
        <v>1296</v>
      </c>
      <c r="M17" s="13" t="str">
        <f>"COMMENT ON COLUMN PG_SILVER."&amp;G17&amp;"."&amp;H17&amp;" IS '"&amp;K17&amp;"';"</f>
        <v>COMMENT ON COLUMN PG_SILVER.AR_RATE_HIST.SYS_EXP_DT IS 'Ngày hết hạn của bản ghi';</v>
      </c>
    </row>
    <row r="18" spans="1:29">
      <c r="A18" s="252"/>
      <c r="B18" s="252"/>
      <c r="C18" s="252"/>
      <c r="D18" s="252" t="s">
        <v>1297</v>
      </c>
      <c r="E18" s="253" t="s">
        <v>207</v>
      </c>
      <c r="F18" s="252" t="s">
        <v>1298</v>
      </c>
      <c r="G18" s="254" t="s">
        <v>208</v>
      </c>
      <c r="H18" s="252" t="s">
        <v>1299</v>
      </c>
      <c r="I18" s="252" t="s">
        <v>519</v>
      </c>
      <c r="J18" s="252"/>
      <c r="K18" s="252" t="s">
        <v>1300</v>
      </c>
      <c r="M18" s="13" t="str">
        <f>"COMMENT ON COLUMN PG_SILVER."&amp;G18&amp;"."&amp;H18&amp;" IS '"&amp;K18&amp;"';"</f>
        <v>COMMENT ON COLUMN PG_SILVER.AR_RATE_HIST.SYS_UDT_DT IS 'Ngày update dữ liệu gần nhất';</v>
      </c>
    </row>
    <row r="19" spans="1:29">
      <c r="A19" s="255"/>
      <c r="B19" s="255"/>
      <c r="C19" s="255"/>
      <c r="D19" s="255"/>
      <c r="E19" s="255"/>
      <c r="F19" s="255"/>
      <c r="G19" s="255"/>
      <c r="H19" s="255"/>
      <c r="I19" s="255"/>
      <c r="J19" s="255"/>
      <c r="K19" s="255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</row>
    <row r="20" spans="1:29">
      <c r="A20" s="257" t="s">
        <v>1433</v>
      </c>
      <c r="B20" s="18" t="s">
        <v>2144</v>
      </c>
      <c r="C20" s="18"/>
      <c r="D20" s="18"/>
      <c r="E20" s="18"/>
      <c r="F20" s="18"/>
      <c r="G20" s="18"/>
      <c r="H20" s="18"/>
      <c r="I20" s="18"/>
      <c r="J20" s="18"/>
      <c r="K20" s="18"/>
    </row>
    <row r="22" spans="1:29">
      <c r="A22" s="34" t="s">
        <v>1058</v>
      </c>
      <c r="B22" s="34" t="s">
        <v>1059</v>
      </c>
      <c r="C22" s="34"/>
      <c r="D22" s="34" t="s">
        <v>1060</v>
      </c>
      <c r="E22" s="34"/>
      <c r="F22" s="34"/>
      <c r="G22" s="34"/>
      <c r="H22" s="34"/>
      <c r="I22" s="34"/>
      <c r="J22" s="34"/>
      <c r="K22" s="34"/>
    </row>
    <row r="23" spans="1:29">
      <c r="A23" s="16" t="s">
        <v>512</v>
      </c>
      <c r="B23" s="16" t="s">
        <v>620</v>
      </c>
      <c r="C23" s="281" t="s">
        <v>2074</v>
      </c>
      <c r="D23" s="42" t="s">
        <v>2075</v>
      </c>
      <c r="E23" s="28"/>
      <c r="F23" s="28"/>
      <c r="G23" s="28"/>
      <c r="H23" s="28"/>
      <c r="I23" s="28"/>
      <c r="J23" s="28"/>
      <c r="K23" s="28"/>
    </row>
    <row r="24" spans="1:29" ht="73.5" customHeight="1">
      <c r="A24" s="16" t="s">
        <v>414</v>
      </c>
      <c r="B24" s="16" t="s">
        <v>422</v>
      </c>
      <c r="C24" s="281" t="s">
        <v>1501</v>
      </c>
      <c r="D24" s="42" t="s">
        <v>2145</v>
      </c>
      <c r="E24" s="258"/>
      <c r="F24" s="258"/>
      <c r="G24" s="258"/>
      <c r="H24" s="258"/>
      <c r="I24" s="258"/>
      <c r="J24" s="258"/>
      <c r="K24" s="258"/>
    </row>
    <row r="26" spans="1:29">
      <c r="A26" s="34" t="s">
        <v>1058</v>
      </c>
      <c r="B26" s="34" t="s">
        <v>1059</v>
      </c>
      <c r="C26" s="34" t="s">
        <v>1065</v>
      </c>
      <c r="D26" s="34" t="s">
        <v>1066</v>
      </c>
      <c r="E26" s="34" t="s">
        <v>1067</v>
      </c>
      <c r="F26" s="34" t="s">
        <v>1068</v>
      </c>
      <c r="G26" s="34" t="s">
        <v>1069</v>
      </c>
      <c r="H26" s="34" t="s">
        <v>1070</v>
      </c>
      <c r="I26" s="34" t="s">
        <v>1071</v>
      </c>
      <c r="J26" s="34" t="s">
        <v>1072</v>
      </c>
      <c r="K26" s="34" t="s">
        <v>1073</v>
      </c>
    </row>
    <row r="27" spans="1:29">
      <c r="A27" s="16" t="s">
        <v>512</v>
      </c>
      <c r="B27" s="16" t="s">
        <v>620</v>
      </c>
      <c r="C27" s="258" t="s">
        <v>490</v>
      </c>
      <c r="D27" s="41" t="s">
        <v>2082</v>
      </c>
      <c r="E27" s="258" t="s">
        <v>207</v>
      </c>
      <c r="F27" s="258" t="s">
        <v>1077</v>
      </c>
      <c r="G27" s="146" t="s">
        <v>208</v>
      </c>
      <c r="H27" s="146" t="s">
        <v>1078</v>
      </c>
      <c r="I27" s="16" t="s">
        <v>1079</v>
      </c>
      <c r="J27" s="16">
        <v>32</v>
      </c>
      <c r="K27" s="16" t="s">
        <v>1733</v>
      </c>
    </row>
    <row r="28" spans="1:29">
      <c r="A28" s="16" t="s">
        <v>512</v>
      </c>
      <c r="B28" s="16" t="s">
        <v>620</v>
      </c>
      <c r="C28" s="258" t="s">
        <v>490</v>
      </c>
      <c r="D28" s="258" t="s">
        <v>1128</v>
      </c>
      <c r="E28" s="258" t="s">
        <v>207</v>
      </c>
      <c r="F28" s="258" t="s">
        <v>928</v>
      </c>
      <c r="G28" s="146" t="s">
        <v>208</v>
      </c>
      <c r="H28" s="146" t="s">
        <v>1082</v>
      </c>
      <c r="I28" s="16" t="s">
        <v>1327</v>
      </c>
      <c r="J28" s="16">
        <v>40</v>
      </c>
      <c r="K28" s="258" t="s">
        <v>249</v>
      </c>
    </row>
    <row r="29" spans="1:29">
      <c r="A29" s="16" t="s">
        <v>512</v>
      </c>
      <c r="B29" s="16" t="s">
        <v>620</v>
      </c>
      <c r="C29" s="258" t="s">
        <v>606</v>
      </c>
      <c r="D29" s="258" t="s">
        <v>1128</v>
      </c>
      <c r="E29" s="258" t="s">
        <v>207</v>
      </c>
      <c r="F29" s="258" t="s">
        <v>903</v>
      </c>
      <c r="G29" s="146" t="s">
        <v>208</v>
      </c>
      <c r="H29" s="146" t="s">
        <v>2141</v>
      </c>
      <c r="I29" s="16" t="s">
        <v>1327</v>
      </c>
      <c r="J29" s="16">
        <v>20</v>
      </c>
      <c r="K29" s="258" t="s">
        <v>902</v>
      </c>
    </row>
    <row r="30" spans="1:29">
      <c r="A30" s="16" t="s">
        <v>512</v>
      </c>
      <c r="B30" s="16" t="s">
        <v>620</v>
      </c>
      <c r="C30" s="258" t="s">
        <v>607</v>
      </c>
      <c r="D30" s="258" t="s">
        <v>1128</v>
      </c>
      <c r="E30" s="258" t="s">
        <v>207</v>
      </c>
      <c r="F30" s="258" t="s">
        <v>905</v>
      </c>
      <c r="G30" s="146" t="s">
        <v>208</v>
      </c>
      <c r="H30" s="146" t="s">
        <v>2142</v>
      </c>
      <c r="I30" s="16" t="s">
        <v>519</v>
      </c>
      <c r="J30" s="16"/>
      <c r="K30" s="258" t="s">
        <v>904</v>
      </c>
    </row>
    <row r="31" spans="1:29">
      <c r="A31" s="16" t="s">
        <v>512</v>
      </c>
      <c r="B31" s="16" t="s">
        <v>620</v>
      </c>
      <c r="C31" s="258" t="s">
        <v>608</v>
      </c>
      <c r="D31" s="258" t="s">
        <v>1128</v>
      </c>
      <c r="E31" s="258" t="s">
        <v>207</v>
      </c>
      <c r="F31" s="258" t="s">
        <v>907</v>
      </c>
      <c r="G31" s="146" t="s">
        <v>208</v>
      </c>
      <c r="H31" s="146" t="s">
        <v>1722</v>
      </c>
      <c r="I31" s="16" t="s">
        <v>1106</v>
      </c>
      <c r="J31" s="16">
        <v>10.5</v>
      </c>
      <c r="K31" s="258" t="s">
        <v>906</v>
      </c>
    </row>
    <row r="32" spans="1:29">
      <c r="A32" s="16" t="s">
        <v>512</v>
      </c>
      <c r="B32" s="16" t="s">
        <v>620</v>
      </c>
      <c r="C32" s="258" t="s">
        <v>609</v>
      </c>
      <c r="D32" s="258" t="s">
        <v>1128</v>
      </c>
      <c r="E32" s="258" t="s">
        <v>207</v>
      </c>
      <c r="F32" s="258" t="s">
        <v>909</v>
      </c>
      <c r="G32" s="146" t="s">
        <v>208</v>
      </c>
      <c r="H32" s="146" t="s">
        <v>2143</v>
      </c>
      <c r="I32" s="16" t="s">
        <v>1106</v>
      </c>
      <c r="J32" s="16">
        <v>10.5</v>
      </c>
      <c r="K32" s="258" t="s">
        <v>908</v>
      </c>
    </row>
    <row r="33" spans="1:11">
      <c r="A33" s="16"/>
      <c r="B33" s="16"/>
      <c r="C33" s="258"/>
      <c r="D33" s="258" t="s">
        <v>1339</v>
      </c>
      <c r="E33" s="258" t="s">
        <v>207</v>
      </c>
      <c r="F33" s="258" t="s">
        <v>921</v>
      </c>
      <c r="G33" s="146" t="s">
        <v>208</v>
      </c>
      <c r="H33" s="146" t="s">
        <v>1550</v>
      </c>
      <c r="I33" s="16" t="s">
        <v>1106</v>
      </c>
      <c r="J33" s="16">
        <v>10.5</v>
      </c>
      <c r="K33" s="258" t="s">
        <v>920</v>
      </c>
    </row>
    <row r="34" spans="1:11">
      <c r="A34" s="258"/>
      <c r="B34" s="16"/>
      <c r="C34" s="258"/>
      <c r="D34" s="258" t="s">
        <v>1339</v>
      </c>
      <c r="E34" s="258" t="s">
        <v>207</v>
      </c>
      <c r="F34" s="258" t="s">
        <v>926</v>
      </c>
      <c r="G34" s="146" t="s">
        <v>208</v>
      </c>
      <c r="H34" s="146" t="s">
        <v>1552</v>
      </c>
      <c r="I34" s="16" t="s">
        <v>1106</v>
      </c>
      <c r="J34" s="16">
        <v>10.5</v>
      </c>
      <c r="K34" s="258" t="s">
        <v>925</v>
      </c>
    </row>
    <row r="35" spans="1:11">
      <c r="A35" s="16" t="s">
        <v>414</v>
      </c>
      <c r="B35" s="16" t="s">
        <v>422</v>
      </c>
      <c r="C35" s="16" t="s">
        <v>693</v>
      </c>
      <c r="D35" s="258" t="s">
        <v>1128</v>
      </c>
      <c r="E35" s="258" t="s">
        <v>207</v>
      </c>
      <c r="F35" s="13" t="s">
        <v>695</v>
      </c>
      <c r="G35" s="146" t="s">
        <v>208</v>
      </c>
      <c r="H35" s="162" t="s">
        <v>1574</v>
      </c>
      <c r="I35" s="16" t="s">
        <v>1106</v>
      </c>
      <c r="J35" s="16">
        <v>10.5</v>
      </c>
      <c r="K35" s="13" t="s">
        <v>694</v>
      </c>
    </row>
    <row r="36" spans="1:11">
      <c r="A36" s="16"/>
      <c r="B36" s="16"/>
      <c r="C36" s="16"/>
      <c r="D36" s="16" t="s">
        <v>2122</v>
      </c>
      <c r="E36" s="258" t="s">
        <v>207</v>
      </c>
      <c r="F36" s="16" t="s">
        <v>1290</v>
      </c>
      <c r="G36" s="146" t="s">
        <v>208</v>
      </c>
      <c r="H36" s="16" t="s">
        <v>1291</v>
      </c>
      <c r="I36" s="16" t="s">
        <v>519</v>
      </c>
      <c r="J36" s="16"/>
      <c r="K36" s="16" t="s">
        <v>1292</v>
      </c>
    </row>
    <row r="37" spans="1:11">
      <c r="A37" s="16"/>
      <c r="B37" s="16"/>
      <c r="C37" s="16"/>
      <c r="D37" s="16" t="s">
        <v>1293</v>
      </c>
      <c r="E37" s="258" t="s">
        <v>207</v>
      </c>
      <c r="F37" s="16" t="s">
        <v>1294</v>
      </c>
      <c r="G37" s="146" t="s">
        <v>208</v>
      </c>
      <c r="H37" s="16" t="s">
        <v>1295</v>
      </c>
      <c r="I37" s="16" t="s">
        <v>519</v>
      </c>
      <c r="J37" s="16"/>
      <c r="K37" s="16" t="s">
        <v>1296</v>
      </c>
    </row>
    <row r="38" spans="1:11">
      <c r="A38" s="16"/>
      <c r="B38" s="16"/>
      <c r="C38" s="16"/>
      <c r="D38" s="16" t="s">
        <v>1297</v>
      </c>
      <c r="E38" s="258" t="s">
        <v>207</v>
      </c>
      <c r="F38" s="16" t="s">
        <v>1298</v>
      </c>
      <c r="G38" s="146" t="s">
        <v>208</v>
      </c>
      <c r="H38" s="16" t="s">
        <v>1299</v>
      </c>
      <c r="I38" s="16" t="s">
        <v>519</v>
      </c>
      <c r="J38" s="16"/>
      <c r="K38" s="16" t="s">
        <v>1300</v>
      </c>
    </row>
    <row r="40" spans="1:11">
      <c r="A40" s="257" t="s">
        <v>1433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2" spans="1:11">
      <c r="A42" s="34" t="s">
        <v>1058</v>
      </c>
      <c r="B42" s="34" t="s">
        <v>1059</v>
      </c>
      <c r="C42" s="34"/>
      <c r="D42" s="34" t="s">
        <v>1060</v>
      </c>
      <c r="E42" s="34"/>
      <c r="F42" s="34"/>
      <c r="G42" s="34"/>
      <c r="H42" s="34"/>
      <c r="I42" s="34"/>
      <c r="J42" s="34"/>
      <c r="K42" s="34"/>
    </row>
    <row r="43" spans="1:11">
      <c r="A43" s="258" t="s">
        <v>512</v>
      </c>
      <c r="B43" s="16" t="s">
        <v>626</v>
      </c>
      <c r="C43" s="281"/>
      <c r="D43" s="42"/>
      <c r="E43" s="28"/>
      <c r="F43" s="28"/>
      <c r="G43" s="28"/>
      <c r="H43" s="28"/>
      <c r="I43" s="28"/>
      <c r="J43" s="28"/>
      <c r="K43" s="28"/>
    </row>
    <row r="45" spans="1:11">
      <c r="A45" s="34" t="s">
        <v>1058</v>
      </c>
      <c r="B45" s="34" t="s">
        <v>1059</v>
      </c>
      <c r="C45" s="34" t="s">
        <v>1065</v>
      </c>
      <c r="D45" s="34" t="s">
        <v>1066</v>
      </c>
      <c r="E45" s="34" t="s">
        <v>1067</v>
      </c>
      <c r="F45" s="34" t="s">
        <v>1068</v>
      </c>
      <c r="G45" s="34" t="s">
        <v>1069</v>
      </c>
      <c r="H45" s="34" t="s">
        <v>1070</v>
      </c>
      <c r="I45" s="34" t="s">
        <v>1071</v>
      </c>
      <c r="J45" s="34" t="s">
        <v>1072</v>
      </c>
      <c r="K45" s="34" t="s">
        <v>1073</v>
      </c>
    </row>
    <row r="46" spans="1:11">
      <c r="A46" s="258" t="s">
        <v>512</v>
      </c>
      <c r="B46" s="16" t="s">
        <v>626</v>
      </c>
      <c r="C46" s="258" t="s">
        <v>490</v>
      </c>
      <c r="D46" s="41" t="s">
        <v>1076</v>
      </c>
      <c r="E46" s="258" t="s">
        <v>207</v>
      </c>
      <c r="F46" s="258" t="s">
        <v>1077</v>
      </c>
      <c r="G46" s="146" t="s">
        <v>208</v>
      </c>
      <c r="H46" s="146" t="s">
        <v>1078</v>
      </c>
      <c r="I46" s="16" t="s">
        <v>1079</v>
      </c>
      <c r="J46" s="16">
        <v>32</v>
      </c>
      <c r="K46" s="16" t="s">
        <v>1733</v>
      </c>
    </row>
    <row r="47" spans="1:11">
      <c r="A47" s="258" t="s">
        <v>512</v>
      </c>
      <c r="B47" s="16" t="s">
        <v>626</v>
      </c>
      <c r="C47" s="258" t="s">
        <v>490</v>
      </c>
      <c r="D47" s="258" t="s">
        <v>1128</v>
      </c>
      <c r="E47" s="258" t="s">
        <v>207</v>
      </c>
      <c r="F47" s="258" t="s">
        <v>928</v>
      </c>
      <c r="G47" s="146" t="s">
        <v>208</v>
      </c>
      <c r="H47" s="146" t="s">
        <v>1082</v>
      </c>
      <c r="I47" s="16" t="s">
        <v>1327</v>
      </c>
      <c r="J47" s="16">
        <v>40</v>
      </c>
      <c r="K47" s="258" t="s">
        <v>249</v>
      </c>
    </row>
    <row r="48" spans="1:11">
      <c r="A48" s="258" t="s">
        <v>512</v>
      </c>
      <c r="B48" s="16" t="s">
        <v>626</v>
      </c>
      <c r="C48" s="258"/>
      <c r="D48" s="258" t="s">
        <v>1339</v>
      </c>
      <c r="E48" s="258" t="s">
        <v>207</v>
      </c>
      <c r="F48" s="258" t="s">
        <v>903</v>
      </c>
      <c r="G48" s="146" t="s">
        <v>208</v>
      </c>
      <c r="H48" s="146" t="s">
        <v>2141</v>
      </c>
      <c r="I48" s="16" t="s">
        <v>1327</v>
      </c>
      <c r="J48" s="16">
        <v>20</v>
      </c>
      <c r="K48" s="258" t="s">
        <v>902</v>
      </c>
    </row>
    <row r="49" spans="1:11">
      <c r="A49" s="258" t="s">
        <v>512</v>
      </c>
      <c r="B49" s="16" t="s">
        <v>626</v>
      </c>
      <c r="C49" s="258"/>
      <c r="D49" s="258" t="s">
        <v>1339</v>
      </c>
      <c r="E49" s="258" t="s">
        <v>207</v>
      </c>
      <c r="F49" s="258" t="s">
        <v>905</v>
      </c>
      <c r="G49" s="146" t="s">
        <v>208</v>
      </c>
      <c r="H49" s="146" t="s">
        <v>2142</v>
      </c>
      <c r="I49" s="16" t="s">
        <v>519</v>
      </c>
      <c r="J49" s="16"/>
      <c r="K49" s="258" t="s">
        <v>904</v>
      </c>
    </row>
    <row r="50" spans="1:11">
      <c r="A50" s="258" t="s">
        <v>512</v>
      </c>
      <c r="B50" s="16" t="s">
        <v>626</v>
      </c>
      <c r="C50" s="258"/>
      <c r="D50" s="258" t="s">
        <v>1339</v>
      </c>
      <c r="E50" s="258" t="s">
        <v>207</v>
      </c>
      <c r="F50" s="258" t="s">
        <v>907</v>
      </c>
      <c r="G50" s="146" t="s">
        <v>208</v>
      </c>
      <c r="H50" s="146" t="s">
        <v>1722</v>
      </c>
      <c r="I50" s="16" t="s">
        <v>1106</v>
      </c>
      <c r="J50" s="16">
        <v>10.5</v>
      </c>
      <c r="K50" s="258" t="s">
        <v>906</v>
      </c>
    </row>
    <row r="51" spans="1:11">
      <c r="A51" s="258" t="s">
        <v>512</v>
      </c>
      <c r="B51" s="16" t="s">
        <v>626</v>
      </c>
      <c r="C51" s="258"/>
      <c r="D51" s="258" t="s">
        <v>1339</v>
      </c>
      <c r="E51" s="258" t="s">
        <v>207</v>
      </c>
      <c r="F51" s="258" t="s">
        <v>909</v>
      </c>
      <c r="G51" s="146" t="s">
        <v>208</v>
      </c>
      <c r="H51" s="146" t="s">
        <v>2143</v>
      </c>
      <c r="I51" s="16" t="s">
        <v>1106</v>
      </c>
      <c r="J51" s="16">
        <v>10.5</v>
      </c>
      <c r="K51" s="258" t="s">
        <v>908</v>
      </c>
    </row>
    <row r="52" spans="1:11">
      <c r="A52" s="258" t="s">
        <v>512</v>
      </c>
      <c r="B52" s="16" t="s">
        <v>626</v>
      </c>
      <c r="C52" s="258" t="s">
        <v>613</v>
      </c>
      <c r="D52" s="258" t="s">
        <v>1128</v>
      </c>
      <c r="E52" s="258" t="s">
        <v>207</v>
      </c>
      <c r="F52" s="258" t="s">
        <v>921</v>
      </c>
      <c r="G52" s="146" t="s">
        <v>208</v>
      </c>
      <c r="H52" s="146" t="s">
        <v>1550</v>
      </c>
      <c r="I52" s="16" t="s">
        <v>1106</v>
      </c>
      <c r="J52" s="16">
        <v>10.5</v>
      </c>
      <c r="K52" s="258" t="s">
        <v>920</v>
      </c>
    </row>
    <row r="53" spans="1:11">
      <c r="A53" s="258" t="s">
        <v>512</v>
      </c>
      <c r="B53" s="16" t="s">
        <v>626</v>
      </c>
      <c r="C53" s="258" t="s">
        <v>616</v>
      </c>
      <c r="D53" s="258" t="s">
        <v>1128</v>
      </c>
      <c r="E53" s="258" t="s">
        <v>207</v>
      </c>
      <c r="F53" s="258" t="s">
        <v>926</v>
      </c>
      <c r="G53" s="146" t="s">
        <v>208</v>
      </c>
      <c r="H53" s="146" t="s">
        <v>1552</v>
      </c>
      <c r="I53" s="16" t="s">
        <v>1106</v>
      </c>
      <c r="J53" s="16">
        <v>10.5</v>
      </c>
      <c r="K53" s="258" t="s">
        <v>925</v>
      </c>
    </row>
    <row r="54" spans="1:11">
      <c r="A54" s="16"/>
      <c r="B54" s="16"/>
      <c r="C54" s="16"/>
      <c r="D54" s="258" t="s">
        <v>1535</v>
      </c>
      <c r="E54" s="258" t="s">
        <v>207</v>
      </c>
      <c r="F54" s="13" t="s">
        <v>695</v>
      </c>
      <c r="G54" s="146" t="s">
        <v>208</v>
      </c>
      <c r="H54" s="162" t="s">
        <v>1574</v>
      </c>
      <c r="I54" s="16" t="s">
        <v>1106</v>
      </c>
      <c r="J54" s="16">
        <v>10.5</v>
      </c>
      <c r="K54" s="13" t="s">
        <v>694</v>
      </c>
    </row>
    <row r="55" spans="1:11">
      <c r="A55" s="16"/>
      <c r="B55" s="16"/>
      <c r="C55" s="16"/>
      <c r="D55" s="16" t="s">
        <v>2122</v>
      </c>
      <c r="E55" s="258" t="s">
        <v>207</v>
      </c>
      <c r="F55" s="16" t="s">
        <v>1290</v>
      </c>
      <c r="G55" s="146" t="s">
        <v>208</v>
      </c>
      <c r="H55" s="16" t="s">
        <v>1291</v>
      </c>
      <c r="I55" s="16" t="s">
        <v>519</v>
      </c>
      <c r="J55" s="16"/>
      <c r="K55" s="16" t="s">
        <v>1292</v>
      </c>
    </row>
    <row r="56" spans="1:11">
      <c r="A56" s="16"/>
      <c r="B56" s="16"/>
      <c r="C56" s="16"/>
      <c r="D56" s="16" t="s">
        <v>1293</v>
      </c>
      <c r="E56" s="258" t="s">
        <v>207</v>
      </c>
      <c r="F56" s="16" t="s">
        <v>1294</v>
      </c>
      <c r="G56" s="146" t="s">
        <v>208</v>
      </c>
      <c r="H56" s="16" t="s">
        <v>1295</v>
      </c>
      <c r="I56" s="16" t="s">
        <v>519</v>
      </c>
      <c r="J56" s="16"/>
      <c r="K56" s="16" t="s">
        <v>1296</v>
      </c>
    </row>
    <row r="57" spans="1:11">
      <c r="A57" s="16"/>
      <c r="B57" s="16"/>
      <c r="C57" s="16"/>
      <c r="D57" s="16" t="s">
        <v>1297</v>
      </c>
      <c r="E57" s="258" t="s">
        <v>207</v>
      </c>
      <c r="F57" s="16" t="s">
        <v>1298</v>
      </c>
      <c r="G57" s="146" t="s">
        <v>208</v>
      </c>
      <c r="H57" s="16" t="s">
        <v>1299</v>
      </c>
      <c r="I57" s="16" t="s">
        <v>519</v>
      </c>
      <c r="J57" s="16"/>
      <c r="K57" s="16" t="s">
        <v>1300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12"/>
  <sheetViews>
    <sheetView topLeftCell="A6" workbookViewId="0"/>
  </sheetViews>
  <sheetFormatPr defaultColWidth="14.42578125" defaultRowHeight="15" customHeight="1"/>
  <cols>
    <col min="3" max="3" width="19" style="259" customWidth="1"/>
    <col min="4" max="4" width="30.42578125" style="259" customWidth="1"/>
    <col min="5" max="5" width="34.7109375" style="259" customWidth="1"/>
    <col min="6" max="6" width="25" style="259" customWidth="1"/>
    <col min="7" max="7" width="16.7109375" style="259" customWidth="1"/>
    <col min="8" max="8" width="18.85546875" style="259" customWidth="1"/>
    <col min="10" max="10" width="6.7109375" style="259" customWidth="1"/>
    <col min="11" max="11" width="34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 t="s">
        <v>1065</v>
      </c>
      <c r="D2" s="34" t="s">
        <v>1066</v>
      </c>
      <c r="E2" s="34" t="s">
        <v>1067</v>
      </c>
      <c r="F2" s="34" t="s">
        <v>1068</v>
      </c>
      <c r="G2" s="34" t="s">
        <v>1069</v>
      </c>
      <c r="H2" s="34" t="s">
        <v>1070</v>
      </c>
      <c r="I2" s="34" t="s">
        <v>1071</v>
      </c>
      <c r="J2" s="34" t="s">
        <v>1072</v>
      </c>
      <c r="K2" s="34" t="s">
        <v>1073</v>
      </c>
    </row>
    <row r="3" spans="1:13">
      <c r="A3" s="258" t="s">
        <v>512</v>
      </c>
      <c r="B3" s="16" t="s">
        <v>513</v>
      </c>
      <c r="C3" s="258" t="s">
        <v>490</v>
      </c>
      <c r="D3" s="258" t="s">
        <v>1732</v>
      </c>
      <c r="E3" s="258" t="s">
        <v>823</v>
      </c>
      <c r="F3" s="258" t="s">
        <v>1459</v>
      </c>
      <c r="G3" s="16" t="s">
        <v>46</v>
      </c>
      <c r="H3" s="31" t="s">
        <v>1285</v>
      </c>
      <c r="I3" s="16" t="s">
        <v>1079</v>
      </c>
      <c r="J3" s="16">
        <v>32</v>
      </c>
      <c r="K3" s="16" t="s">
        <v>1733</v>
      </c>
      <c r="M3" s="13" t="str">
        <f>"COMMENT ON COLUMN PG_SILVER."&amp;G3&amp;"."&amp;H3&amp;" IS '"&amp;K3&amp;"';"</f>
        <v>COMMENT ON COLUMN PG_SILVER.IP_ALT_IDENTN.CST_ID IS 'Unique key trên DWH';</v>
      </c>
    </row>
    <row r="4" spans="1:13">
      <c r="A4" s="258" t="s">
        <v>512</v>
      </c>
      <c r="B4" s="16" t="s">
        <v>513</v>
      </c>
      <c r="C4" s="258" t="s">
        <v>490</v>
      </c>
      <c r="D4" s="258" t="s">
        <v>1128</v>
      </c>
      <c r="E4" s="258" t="s">
        <v>823</v>
      </c>
      <c r="F4" s="258" t="s">
        <v>847</v>
      </c>
      <c r="G4" s="16" t="s">
        <v>46</v>
      </c>
      <c r="H4" s="31" t="s">
        <v>253</v>
      </c>
      <c r="I4" s="16" t="s">
        <v>1327</v>
      </c>
      <c r="J4" s="16">
        <v>20</v>
      </c>
      <c r="K4" s="16" t="s">
        <v>846</v>
      </c>
      <c r="M4" s="13" t="str">
        <f>"COMMENT ON COLUMN PG_SILVER."&amp;G4&amp;"."&amp;H4&amp;" IS '"&amp;K4&amp;"';"</f>
        <v>COMMENT ON COLUMN PG_SILVER.IP_ALT_IDENTN.CST_CODE IS 'Mã CIF';</v>
      </c>
    </row>
    <row r="5" spans="1:13">
      <c r="A5" s="16" t="s">
        <v>512</v>
      </c>
      <c r="B5" s="16" t="s">
        <v>513</v>
      </c>
      <c r="C5" s="24" t="s">
        <v>563</v>
      </c>
      <c r="D5" s="258" t="s">
        <v>1128</v>
      </c>
      <c r="E5" s="258" t="s">
        <v>823</v>
      </c>
      <c r="F5" s="258" t="s">
        <v>831</v>
      </c>
      <c r="G5" s="16" t="s">
        <v>46</v>
      </c>
      <c r="H5" s="31" t="s">
        <v>1401</v>
      </c>
      <c r="I5" s="16" t="s">
        <v>1327</v>
      </c>
      <c r="J5" s="16">
        <v>20</v>
      </c>
      <c r="K5" s="16" t="s">
        <v>2146</v>
      </c>
      <c r="M5" s="13" t="str">
        <f>"COMMENT ON COLUMN PG_SILVER."&amp;G5&amp;"."&amp;H5&amp;" IS '"&amp;K5&amp;"';"</f>
        <v>COMMENT ON COLUMN PG_SILVER.IP_ALT_IDENTN.IDENTN_TP_CODE IS 'Loại giấy tờ';</v>
      </c>
    </row>
    <row r="6" spans="1:13">
      <c r="A6" s="16" t="s">
        <v>512</v>
      </c>
      <c r="B6" s="16" t="s">
        <v>513</v>
      </c>
      <c r="C6" s="16" t="s">
        <v>825</v>
      </c>
      <c r="D6" s="258" t="s">
        <v>1128</v>
      </c>
      <c r="E6" s="258" t="s">
        <v>823</v>
      </c>
      <c r="F6" s="258" t="s">
        <v>1337</v>
      </c>
      <c r="G6" s="16" t="s">
        <v>46</v>
      </c>
      <c r="H6" s="31" t="s">
        <v>1336</v>
      </c>
      <c r="I6" s="16" t="s">
        <v>519</v>
      </c>
      <c r="J6" s="16"/>
      <c r="K6" s="16" t="s">
        <v>2147</v>
      </c>
      <c r="M6" s="13" t="str">
        <f>"COMMENT ON COLUMN PG_SILVER."&amp;G6&amp;"."&amp;H6&amp;" IS '"&amp;K6&amp;"';"</f>
        <v>COMMENT ON COLUMN PG_SILVER.IP_ALT_IDENTN.IDENTN_ISSU_DT IS 'Ngày cấp giấy tờ';</v>
      </c>
    </row>
    <row r="7" spans="1:13">
      <c r="A7" s="16" t="s">
        <v>512</v>
      </c>
      <c r="B7" s="16" t="s">
        <v>513</v>
      </c>
      <c r="C7" s="24" t="s">
        <v>821</v>
      </c>
      <c r="D7" s="258" t="s">
        <v>1128</v>
      </c>
      <c r="E7" s="258" t="s">
        <v>823</v>
      </c>
      <c r="F7" s="258" t="s">
        <v>2148</v>
      </c>
      <c r="G7" s="16" t="s">
        <v>46</v>
      </c>
      <c r="H7" s="31" t="s">
        <v>1346</v>
      </c>
      <c r="I7" s="16" t="s">
        <v>519</v>
      </c>
      <c r="J7" s="16"/>
      <c r="K7" s="16" t="s">
        <v>2149</v>
      </c>
      <c r="M7" s="13" t="str">
        <f>"COMMENT ON COLUMN PG_SILVER."&amp;G7&amp;"."&amp;H7&amp;" IS '"&amp;K7&amp;"';"</f>
        <v>COMMENT ON COLUMN PG_SILVER.IP_ALT_IDENTN.IDENTN_EXPIRY_DT IS 'Ngày hêt hạn giấy tờ';</v>
      </c>
    </row>
    <row r="8" spans="1:13">
      <c r="A8" s="16" t="s">
        <v>512</v>
      </c>
      <c r="B8" s="16" t="s">
        <v>513</v>
      </c>
      <c r="C8" s="24" t="s">
        <v>562</v>
      </c>
      <c r="D8" s="258" t="s">
        <v>1128</v>
      </c>
      <c r="E8" s="258" t="s">
        <v>823</v>
      </c>
      <c r="F8" s="258" t="s">
        <v>829</v>
      </c>
      <c r="G8" s="16" t="s">
        <v>46</v>
      </c>
      <c r="H8" s="31" t="s">
        <v>1405</v>
      </c>
      <c r="I8" s="16" t="s">
        <v>1327</v>
      </c>
      <c r="J8" s="16">
        <v>20</v>
      </c>
      <c r="K8" s="16" t="s">
        <v>2150</v>
      </c>
      <c r="M8" s="13" t="str">
        <f>"COMMENT ON COLUMN PG_SILVER."&amp;G8&amp;"."&amp;H8&amp;" IS '"&amp;K8&amp;"';"</f>
        <v>COMMENT ON COLUMN PG_SILVER.IP_ALT_IDENTN.ISSU_PLC_CODE IS 'Nơi cấp giấy tờ';</v>
      </c>
    </row>
    <row r="9" spans="1:13">
      <c r="A9" s="16" t="s">
        <v>512</v>
      </c>
      <c r="B9" s="16" t="s">
        <v>513</v>
      </c>
      <c r="C9" s="24" t="s">
        <v>564</v>
      </c>
      <c r="D9" s="258" t="s">
        <v>1128</v>
      </c>
      <c r="E9" s="258" t="s">
        <v>823</v>
      </c>
      <c r="F9" s="258" t="s">
        <v>833</v>
      </c>
      <c r="G9" s="16" t="s">
        <v>46</v>
      </c>
      <c r="H9" s="31" t="s">
        <v>1334</v>
      </c>
      <c r="I9" s="16" t="s">
        <v>1327</v>
      </c>
      <c r="J9" s="16">
        <v>100</v>
      </c>
      <c r="K9" s="16" t="s">
        <v>2151</v>
      </c>
      <c r="M9" s="13" t="str">
        <f>"COMMENT ON COLUMN PG_SILVER."&amp;G9&amp;"."&amp;H9&amp;" IS '"&amp;K9&amp;"';"</f>
        <v>COMMENT ON COLUMN PG_SILVER.IP_ALT_IDENTN.IDENTN_NBR IS 'Mã giấy tờ';</v>
      </c>
    </row>
    <row r="10" spans="1:13">
      <c r="A10" s="16"/>
      <c r="B10" s="16"/>
      <c r="C10" s="16"/>
      <c r="D10" s="16" t="s">
        <v>1736</v>
      </c>
      <c r="E10" s="258" t="s">
        <v>823</v>
      </c>
      <c r="F10" s="16" t="s">
        <v>1290</v>
      </c>
      <c r="G10" s="16" t="s">
        <v>46</v>
      </c>
      <c r="H10" s="16" t="s">
        <v>1291</v>
      </c>
      <c r="I10" s="16" t="s">
        <v>519</v>
      </c>
      <c r="J10" s="16"/>
      <c r="K10" s="16" t="s">
        <v>1292</v>
      </c>
      <c r="M10" s="13" t="str">
        <f>"COMMENT ON COLUMN PG_SILVER."&amp;G10&amp;"."&amp;H10&amp;" IS '"&amp;K10&amp;"';"</f>
        <v>COMMENT ON COLUMN PG_SILVER.IP_ALT_IDENTN.SYS_EFF_DT IS 'Ngày bản ghi lần đầu tiên vào hệ thống';</v>
      </c>
    </row>
    <row r="11" spans="1:13">
      <c r="A11" s="16"/>
      <c r="B11" s="16"/>
      <c r="C11" s="16"/>
      <c r="D11" s="16" t="s">
        <v>1293</v>
      </c>
      <c r="E11" s="258" t="s">
        <v>823</v>
      </c>
      <c r="F11" s="16" t="s">
        <v>1294</v>
      </c>
      <c r="G11" s="16" t="s">
        <v>46</v>
      </c>
      <c r="H11" s="16" t="s">
        <v>1295</v>
      </c>
      <c r="I11" s="16" t="s">
        <v>519</v>
      </c>
      <c r="J11" s="16"/>
      <c r="K11" s="16" t="s">
        <v>1296</v>
      </c>
      <c r="M11" s="13" t="str">
        <f>"COMMENT ON COLUMN PG_SILVER."&amp;G11&amp;"."&amp;H11&amp;" IS '"&amp;K11&amp;"';"</f>
        <v>COMMENT ON COLUMN PG_SILVER.IP_ALT_IDENTN.SYS_EXP_DT IS 'Ngày hết hạn của bản ghi';</v>
      </c>
    </row>
    <row r="12" spans="1:13">
      <c r="A12" s="16"/>
      <c r="B12" s="16"/>
      <c r="C12" s="16"/>
      <c r="D12" s="16" t="s">
        <v>1297</v>
      </c>
      <c r="E12" s="258" t="s">
        <v>823</v>
      </c>
      <c r="F12" s="16" t="s">
        <v>1298</v>
      </c>
      <c r="G12" s="16" t="s">
        <v>46</v>
      </c>
      <c r="H12" s="16" t="s">
        <v>1299</v>
      </c>
      <c r="I12" s="16" t="s">
        <v>519</v>
      </c>
      <c r="J12" s="16"/>
      <c r="K12" s="16" t="s">
        <v>1300</v>
      </c>
      <c r="M12" s="13" t="str">
        <f>"COMMENT ON COLUMN PG_SILVER."&amp;G12&amp;"."&amp;H12&amp;" IS '"&amp;K12&amp;"';"</f>
        <v>COMMENT ON COLUMN PG_SILVER.IP_ALT_IDENTN.SYS_UDT_DT IS 'Ngày update dữ liệu gần nhất';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29"/>
  <sheetViews>
    <sheetView workbookViewId="0"/>
  </sheetViews>
  <sheetFormatPr defaultColWidth="14.42578125" defaultRowHeight="15" customHeight="1"/>
  <cols>
    <col min="1" max="1" width="10.140625" style="259" customWidth="1"/>
    <col min="2" max="2" width="12.5703125" style="259" customWidth="1"/>
    <col min="3" max="3" width="19" style="259" customWidth="1"/>
    <col min="4" max="4" width="30.42578125" style="259" customWidth="1"/>
    <col min="5" max="5" width="34.7109375" style="259" customWidth="1"/>
    <col min="6" max="6" width="22.28515625" style="259" customWidth="1"/>
    <col min="7" max="7" width="13.42578125" style="259" customWidth="1"/>
    <col min="8" max="8" width="17.85546875" style="259" customWidth="1"/>
    <col min="9" max="9" width="12.140625" style="259" customWidth="1"/>
    <col min="10" max="10" width="6.7109375" style="259" customWidth="1"/>
    <col min="11" max="11" width="34" style="259" customWidth="1"/>
  </cols>
  <sheetData>
    <row r="1" spans="1:13">
      <c r="A1" s="34" t="s">
        <v>1058</v>
      </c>
      <c r="B1" s="34" t="s">
        <v>1059</v>
      </c>
      <c r="C1" s="34" t="s">
        <v>1065</v>
      </c>
      <c r="D1" s="34" t="s">
        <v>1066</v>
      </c>
      <c r="E1" s="34" t="s">
        <v>1067</v>
      </c>
      <c r="F1" s="34" t="s">
        <v>1068</v>
      </c>
      <c r="G1" s="34" t="s">
        <v>1069</v>
      </c>
      <c r="H1" s="34" t="s">
        <v>1070</v>
      </c>
      <c r="I1" s="34" t="s">
        <v>1071</v>
      </c>
      <c r="J1" s="34" t="s">
        <v>1072</v>
      </c>
      <c r="K1" s="34" t="s">
        <v>1073</v>
      </c>
    </row>
    <row r="2" spans="1:13">
      <c r="A2" s="258" t="s">
        <v>512</v>
      </c>
      <c r="B2" s="16" t="s">
        <v>513</v>
      </c>
      <c r="C2" s="258" t="s">
        <v>490</v>
      </c>
      <c r="D2" s="258" t="s">
        <v>1732</v>
      </c>
      <c r="E2" s="258" t="s">
        <v>800</v>
      </c>
      <c r="F2" s="258" t="s">
        <v>1459</v>
      </c>
      <c r="G2" s="16" t="s">
        <v>52</v>
      </c>
      <c r="H2" s="31" t="s">
        <v>1285</v>
      </c>
      <c r="I2" s="16" t="s">
        <v>1079</v>
      </c>
      <c r="J2" s="16">
        <v>32</v>
      </c>
      <c r="K2" s="16" t="s">
        <v>1733</v>
      </c>
      <c r="M2" s="13" t="str">
        <f>"COMMENT ON COLUMN PG_SILVER."&amp;G2&amp;"."&amp;H2&amp;" IS '"&amp;K2&amp;"';"</f>
        <v>COMMENT ON COLUMN PG_SILVER.IP_ELC_ADR.CST_ID IS 'Unique key trên DWH';</v>
      </c>
    </row>
    <row r="3" spans="1:13">
      <c r="A3" s="258" t="s">
        <v>512</v>
      </c>
      <c r="B3" s="16" t="s">
        <v>513</v>
      </c>
      <c r="C3" s="258" t="s">
        <v>490</v>
      </c>
      <c r="D3" s="258" t="s">
        <v>1128</v>
      </c>
      <c r="E3" s="258" t="s">
        <v>800</v>
      </c>
      <c r="F3" s="258" t="s">
        <v>847</v>
      </c>
      <c r="G3" s="16" t="s">
        <v>52</v>
      </c>
      <c r="H3" s="31" t="s">
        <v>253</v>
      </c>
      <c r="I3" s="16" t="s">
        <v>1327</v>
      </c>
      <c r="J3" s="16">
        <v>20</v>
      </c>
      <c r="K3" s="16" t="s">
        <v>846</v>
      </c>
      <c r="M3" s="13" t="str">
        <f>"COMMENT ON COLUMN PG_SILVER."&amp;G3&amp;"."&amp;H3&amp;" IS '"&amp;K3&amp;"';"</f>
        <v>COMMENT ON COLUMN PG_SILVER.IP_ELC_ADR.CST_CODE IS 'Mã CIF';</v>
      </c>
    </row>
    <row r="4" spans="1:13">
      <c r="A4" s="16" t="s">
        <v>512</v>
      </c>
      <c r="B4" s="16" t="s">
        <v>513</v>
      </c>
      <c r="C4" s="24"/>
      <c r="D4" s="228" t="s">
        <v>2152</v>
      </c>
      <c r="E4" s="258" t="s">
        <v>800</v>
      </c>
      <c r="F4" s="258" t="s">
        <v>2153</v>
      </c>
      <c r="G4" s="16" t="s">
        <v>52</v>
      </c>
      <c r="H4" s="31" t="s">
        <v>2154</v>
      </c>
      <c r="I4" s="16" t="s">
        <v>1327</v>
      </c>
      <c r="J4" s="16">
        <v>20</v>
      </c>
      <c r="K4" s="16" t="s">
        <v>2155</v>
      </c>
      <c r="M4" s="13" t="str">
        <f>"COMMENT ON COLUMN PG_SILVER."&amp;G4&amp;"."&amp;H4&amp;" IS '"&amp;K4&amp;"';"</f>
        <v>COMMENT ON COLUMN PG_SILVER.IP_ELC_ADR.ELC_ADR_TP IS 'Loại địa chỉ';</v>
      </c>
    </row>
    <row r="5" spans="1:13">
      <c r="A5" s="16" t="s">
        <v>512</v>
      </c>
      <c r="B5" s="16" t="s">
        <v>513</v>
      </c>
      <c r="C5" s="24" t="s">
        <v>543</v>
      </c>
      <c r="D5" s="258" t="s">
        <v>1128</v>
      </c>
      <c r="E5" s="258" t="s">
        <v>800</v>
      </c>
      <c r="F5" s="258" t="s">
        <v>801</v>
      </c>
      <c r="G5" s="16" t="s">
        <v>52</v>
      </c>
      <c r="H5" s="31" t="s">
        <v>1390</v>
      </c>
      <c r="I5" s="16" t="s">
        <v>1327</v>
      </c>
      <c r="J5" s="16">
        <v>100</v>
      </c>
      <c r="K5" s="16" t="s">
        <v>2156</v>
      </c>
      <c r="M5" s="13" t="str">
        <f>"COMMENT ON COLUMN PG_SILVER."&amp;G5&amp;"."&amp;H5&amp;" IS '"&amp;K5&amp;"';"</f>
        <v>COMMENT ON COLUMN PG_SILVER.IP_ELC_ADR.ELC_ADR_VAL IS 'Địa chỉ';</v>
      </c>
    </row>
    <row r="6" spans="1:13">
      <c r="A6" s="16"/>
      <c r="B6" s="16"/>
      <c r="C6" s="16"/>
      <c r="D6" s="16" t="s">
        <v>1736</v>
      </c>
      <c r="E6" s="258" t="s">
        <v>800</v>
      </c>
      <c r="F6" s="16" t="s">
        <v>1290</v>
      </c>
      <c r="G6" s="16" t="s">
        <v>52</v>
      </c>
      <c r="H6" s="16" t="s">
        <v>1291</v>
      </c>
      <c r="I6" s="16" t="s">
        <v>519</v>
      </c>
      <c r="J6" s="16"/>
      <c r="K6" s="16" t="s">
        <v>1292</v>
      </c>
      <c r="M6" s="13" t="str">
        <f>"COMMENT ON COLUMN PG_SILVER."&amp;G6&amp;"."&amp;H6&amp;" IS '"&amp;K6&amp;"';"</f>
        <v>COMMENT ON COLUMN PG_SILVER.IP_ELC_ADR.SYS_EFF_DT IS 'Ngày bản ghi lần đầu tiên vào hệ thống';</v>
      </c>
    </row>
    <row r="7" spans="1:13">
      <c r="A7" s="16"/>
      <c r="B7" s="16"/>
      <c r="C7" s="16"/>
      <c r="D7" s="16" t="s">
        <v>1293</v>
      </c>
      <c r="E7" s="258" t="s">
        <v>800</v>
      </c>
      <c r="F7" s="16" t="s">
        <v>1294</v>
      </c>
      <c r="G7" s="16" t="s">
        <v>52</v>
      </c>
      <c r="H7" s="16" t="s">
        <v>1295</v>
      </c>
      <c r="I7" s="16" t="s">
        <v>519</v>
      </c>
      <c r="J7" s="16"/>
      <c r="K7" s="16" t="s">
        <v>1296</v>
      </c>
      <c r="M7" s="13" t="str">
        <f>"COMMENT ON COLUMN PG_SILVER."&amp;G7&amp;"."&amp;H7&amp;" IS '"&amp;K7&amp;"';"</f>
        <v>COMMENT ON COLUMN PG_SILVER.IP_ELC_ADR.SYS_EXP_DT IS 'Ngày hết hạn của bản ghi';</v>
      </c>
    </row>
    <row r="8" spans="1:13">
      <c r="A8" s="16"/>
      <c r="B8" s="16"/>
      <c r="C8" s="16"/>
      <c r="D8" s="16" t="s">
        <v>1297</v>
      </c>
      <c r="E8" s="258" t="s">
        <v>800</v>
      </c>
      <c r="F8" s="16" t="s">
        <v>1298</v>
      </c>
      <c r="G8" s="16" t="s">
        <v>52</v>
      </c>
      <c r="H8" s="16" t="s">
        <v>1299</v>
      </c>
      <c r="I8" s="16" t="s">
        <v>519</v>
      </c>
      <c r="J8" s="16"/>
      <c r="K8" s="16" t="s">
        <v>1300</v>
      </c>
      <c r="M8" s="13" t="str">
        <f>"COMMENT ON COLUMN PG_SILVER."&amp;G8&amp;"."&amp;H8&amp;" IS '"&amp;K8&amp;"';"</f>
        <v>COMMENT ON COLUMN PG_SILVER.IP_ELC_ADR.SYS_UDT_DT IS 'Ngày update dữ liệu gần nhất';</v>
      </c>
    </row>
    <row r="10" spans="1:13">
      <c r="D10" s="13" t="s">
        <v>1423</v>
      </c>
    </row>
    <row r="11" spans="1:13">
      <c r="A11" s="34" t="s">
        <v>1206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spans="1:13">
      <c r="A12" s="34" t="s">
        <v>1058</v>
      </c>
      <c r="B12" s="34" t="s">
        <v>1059</v>
      </c>
      <c r="C12" s="34" t="s">
        <v>1065</v>
      </c>
      <c r="D12" s="34" t="s">
        <v>1066</v>
      </c>
      <c r="E12" s="34" t="s">
        <v>1067</v>
      </c>
      <c r="F12" s="34" t="s">
        <v>1068</v>
      </c>
      <c r="G12" s="34" t="s">
        <v>1069</v>
      </c>
      <c r="H12" s="34" t="s">
        <v>1070</v>
      </c>
      <c r="I12" s="34" t="s">
        <v>1071</v>
      </c>
      <c r="J12" s="34" t="s">
        <v>1072</v>
      </c>
      <c r="K12" s="34" t="s">
        <v>1073</v>
      </c>
    </row>
    <row r="13" spans="1:13">
      <c r="A13" s="258" t="s">
        <v>512</v>
      </c>
      <c r="B13" s="16" t="s">
        <v>513</v>
      </c>
      <c r="C13" s="258" t="s">
        <v>490</v>
      </c>
      <c r="D13" s="258" t="s">
        <v>1732</v>
      </c>
      <c r="E13" s="258" t="s">
        <v>800</v>
      </c>
      <c r="F13" s="258" t="s">
        <v>1459</v>
      </c>
      <c r="G13" s="16" t="s">
        <v>52</v>
      </c>
      <c r="H13" s="31" t="s">
        <v>1285</v>
      </c>
      <c r="I13" s="16" t="s">
        <v>1079</v>
      </c>
      <c r="J13" s="16">
        <v>32</v>
      </c>
      <c r="K13" s="16" t="s">
        <v>1733</v>
      </c>
    </row>
    <row r="14" spans="1:13">
      <c r="A14" s="258" t="s">
        <v>512</v>
      </c>
      <c r="B14" s="16" t="s">
        <v>513</v>
      </c>
      <c r="C14" s="258" t="s">
        <v>490</v>
      </c>
      <c r="D14" s="258" t="s">
        <v>1128</v>
      </c>
      <c r="E14" s="258" t="s">
        <v>800</v>
      </c>
      <c r="F14" s="258" t="s">
        <v>847</v>
      </c>
      <c r="G14" s="16" t="s">
        <v>52</v>
      </c>
      <c r="H14" s="31" t="s">
        <v>253</v>
      </c>
      <c r="I14" s="16" t="s">
        <v>1327</v>
      </c>
      <c r="J14" s="16">
        <v>20</v>
      </c>
      <c r="K14" s="16" t="s">
        <v>846</v>
      </c>
    </row>
    <row r="15" spans="1:13">
      <c r="A15" s="16" t="s">
        <v>512</v>
      </c>
      <c r="B15" s="16" t="s">
        <v>513</v>
      </c>
      <c r="C15" s="24"/>
      <c r="D15" s="228" t="s">
        <v>2157</v>
      </c>
      <c r="E15" s="258" t="s">
        <v>800</v>
      </c>
      <c r="F15" s="258" t="s">
        <v>2153</v>
      </c>
      <c r="G15" s="16" t="s">
        <v>52</v>
      </c>
      <c r="H15" s="31" t="s">
        <v>2154</v>
      </c>
      <c r="I15" s="16" t="s">
        <v>1327</v>
      </c>
      <c r="J15" s="16">
        <v>20</v>
      </c>
      <c r="K15" s="16" t="s">
        <v>2155</v>
      </c>
    </row>
    <row r="16" spans="1:13">
      <c r="A16" s="16" t="s">
        <v>512</v>
      </c>
      <c r="B16" s="16" t="s">
        <v>513</v>
      </c>
      <c r="C16" s="24" t="s">
        <v>548</v>
      </c>
      <c r="D16" s="258" t="s">
        <v>1128</v>
      </c>
      <c r="E16" s="258" t="s">
        <v>800</v>
      </c>
      <c r="F16" s="258" t="s">
        <v>801</v>
      </c>
      <c r="G16" s="16" t="s">
        <v>52</v>
      </c>
      <c r="H16" s="31" t="s">
        <v>1390</v>
      </c>
      <c r="I16" s="16" t="s">
        <v>1327</v>
      </c>
      <c r="J16" s="16">
        <v>100</v>
      </c>
      <c r="K16" s="16" t="s">
        <v>2156</v>
      </c>
    </row>
    <row r="17" spans="1:11">
      <c r="A17" s="16"/>
      <c r="B17" s="16"/>
      <c r="C17" s="16"/>
      <c r="D17" s="16" t="s">
        <v>1736</v>
      </c>
      <c r="E17" s="258" t="s">
        <v>800</v>
      </c>
      <c r="F17" s="16" t="s">
        <v>1290</v>
      </c>
      <c r="G17" s="16" t="s">
        <v>52</v>
      </c>
      <c r="H17" s="16" t="s">
        <v>1291</v>
      </c>
      <c r="I17" s="16" t="s">
        <v>519</v>
      </c>
      <c r="J17" s="16"/>
      <c r="K17" s="16" t="s">
        <v>1292</v>
      </c>
    </row>
    <row r="18" spans="1:11">
      <c r="A18" s="16"/>
      <c r="B18" s="16"/>
      <c r="C18" s="16"/>
      <c r="D18" s="16" t="s">
        <v>1293</v>
      </c>
      <c r="E18" s="258" t="s">
        <v>800</v>
      </c>
      <c r="F18" s="16" t="s">
        <v>1294</v>
      </c>
      <c r="G18" s="16" t="s">
        <v>52</v>
      </c>
      <c r="H18" s="16" t="s">
        <v>1295</v>
      </c>
      <c r="I18" s="16" t="s">
        <v>519</v>
      </c>
      <c r="J18" s="16"/>
      <c r="K18" s="16" t="s">
        <v>1296</v>
      </c>
    </row>
    <row r="19" spans="1:11">
      <c r="A19" s="16"/>
      <c r="B19" s="16"/>
      <c r="C19" s="16"/>
      <c r="D19" s="16" t="s">
        <v>1297</v>
      </c>
      <c r="E19" s="258" t="s">
        <v>800</v>
      </c>
      <c r="F19" s="16" t="s">
        <v>1298</v>
      </c>
      <c r="G19" s="16" t="s">
        <v>52</v>
      </c>
      <c r="H19" s="16" t="s">
        <v>1299</v>
      </c>
      <c r="I19" s="16" t="s">
        <v>519</v>
      </c>
      <c r="J19" s="16"/>
      <c r="K19" s="16" t="s">
        <v>1300</v>
      </c>
    </row>
    <row r="22" spans="1:11">
      <c r="A22" s="34" t="s">
        <v>1058</v>
      </c>
      <c r="B22" s="34" t="s">
        <v>1059</v>
      </c>
      <c r="C22" s="34" t="s">
        <v>1065</v>
      </c>
      <c r="D22" s="34" t="s">
        <v>1066</v>
      </c>
      <c r="E22" s="34" t="s">
        <v>1067</v>
      </c>
      <c r="F22" s="34" t="s">
        <v>1068</v>
      </c>
      <c r="G22" s="34" t="s">
        <v>1069</v>
      </c>
      <c r="H22" s="34" t="s">
        <v>1070</v>
      </c>
      <c r="I22" s="34" t="s">
        <v>1071</v>
      </c>
      <c r="J22" s="34" t="s">
        <v>1072</v>
      </c>
      <c r="K22" s="34" t="s">
        <v>1073</v>
      </c>
    </row>
    <row r="23" spans="1:11">
      <c r="A23" s="258" t="s">
        <v>512</v>
      </c>
      <c r="B23" s="16" t="s">
        <v>513</v>
      </c>
      <c r="C23" s="258" t="s">
        <v>490</v>
      </c>
      <c r="D23" s="258" t="s">
        <v>1732</v>
      </c>
      <c r="E23" s="258" t="s">
        <v>800</v>
      </c>
      <c r="F23" s="258" t="s">
        <v>1459</v>
      </c>
      <c r="G23" s="16" t="s">
        <v>52</v>
      </c>
      <c r="H23" s="31" t="s">
        <v>1285</v>
      </c>
      <c r="I23" s="16" t="s">
        <v>1079</v>
      </c>
      <c r="J23" s="16">
        <v>32</v>
      </c>
      <c r="K23" s="16" t="s">
        <v>1733</v>
      </c>
    </row>
    <row r="24" spans="1:11">
      <c r="A24" s="258" t="s">
        <v>512</v>
      </c>
      <c r="B24" s="16" t="s">
        <v>513</v>
      </c>
      <c r="C24" s="258" t="s">
        <v>490</v>
      </c>
      <c r="D24" s="258" t="s">
        <v>1128</v>
      </c>
      <c r="E24" s="258" t="s">
        <v>800</v>
      </c>
      <c r="F24" s="258" t="s">
        <v>847</v>
      </c>
      <c r="G24" s="16" t="s">
        <v>52</v>
      </c>
      <c r="H24" s="31" t="s">
        <v>253</v>
      </c>
      <c r="I24" s="16" t="s">
        <v>1327</v>
      </c>
      <c r="J24" s="16">
        <v>20</v>
      </c>
      <c r="K24" s="16" t="s">
        <v>846</v>
      </c>
    </row>
    <row r="25" spans="1:11">
      <c r="A25" s="16" t="s">
        <v>512</v>
      </c>
      <c r="B25" s="16" t="s">
        <v>513</v>
      </c>
      <c r="C25" s="24"/>
      <c r="D25" s="258" t="s">
        <v>2158</v>
      </c>
      <c r="E25" s="258" t="s">
        <v>800</v>
      </c>
      <c r="F25" s="258" t="s">
        <v>2153</v>
      </c>
      <c r="G25" s="16" t="s">
        <v>52</v>
      </c>
      <c r="H25" s="31" t="s">
        <v>2154</v>
      </c>
      <c r="I25" s="16" t="s">
        <v>1327</v>
      </c>
      <c r="J25" s="16">
        <v>20</v>
      </c>
      <c r="K25" s="16" t="s">
        <v>2155</v>
      </c>
    </row>
    <row r="26" spans="1:11">
      <c r="A26" s="16" t="s">
        <v>512</v>
      </c>
      <c r="B26" s="16" t="s">
        <v>513</v>
      </c>
      <c r="C26" s="24" t="s">
        <v>559</v>
      </c>
      <c r="D26" s="258" t="s">
        <v>1128</v>
      </c>
      <c r="E26" s="258" t="s">
        <v>800</v>
      </c>
      <c r="F26" s="258" t="s">
        <v>801</v>
      </c>
      <c r="G26" s="16" t="s">
        <v>52</v>
      </c>
      <c r="H26" s="31" t="s">
        <v>1390</v>
      </c>
      <c r="I26" s="16" t="s">
        <v>1327</v>
      </c>
      <c r="J26" s="16">
        <v>100</v>
      </c>
      <c r="K26" s="16" t="s">
        <v>2156</v>
      </c>
    </row>
    <row r="27" spans="1:11">
      <c r="A27" s="16"/>
      <c r="B27" s="16"/>
      <c r="C27" s="16"/>
      <c r="D27" s="16" t="s">
        <v>1736</v>
      </c>
      <c r="E27" s="258" t="s">
        <v>800</v>
      </c>
      <c r="F27" s="16" t="s">
        <v>1290</v>
      </c>
      <c r="G27" s="16" t="s">
        <v>52</v>
      </c>
      <c r="H27" s="16" t="s">
        <v>1291</v>
      </c>
      <c r="I27" s="16" t="s">
        <v>519</v>
      </c>
      <c r="J27" s="16"/>
      <c r="K27" s="16" t="s">
        <v>1292</v>
      </c>
    </row>
    <row r="28" spans="1:11">
      <c r="A28" s="16"/>
      <c r="B28" s="16"/>
      <c r="C28" s="16"/>
      <c r="D28" s="16" t="s">
        <v>1293</v>
      </c>
      <c r="E28" s="258" t="s">
        <v>800</v>
      </c>
      <c r="F28" s="16" t="s">
        <v>1294</v>
      </c>
      <c r="G28" s="16" t="s">
        <v>52</v>
      </c>
      <c r="H28" s="16" t="s">
        <v>1295</v>
      </c>
      <c r="I28" s="16" t="s">
        <v>519</v>
      </c>
      <c r="J28" s="16"/>
      <c r="K28" s="16" t="s">
        <v>1296</v>
      </c>
    </row>
    <row r="29" spans="1:11">
      <c r="A29" s="16"/>
      <c r="B29" s="16"/>
      <c r="C29" s="16"/>
      <c r="D29" s="16" t="s">
        <v>1297</v>
      </c>
      <c r="E29" s="258" t="s">
        <v>800</v>
      </c>
      <c r="F29" s="16" t="s">
        <v>1298</v>
      </c>
      <c r="G29" s="16" t="s">
        <v>52</v>
      </c>
      <c r="H29" s="16" t="s">
        <v>1299</v>
      </c>
      <c r="I29" s="16" t="s">
        <v>519</v>
      </c>
      <c r="J29" s="16"/>
      <c r="K29" s="16" t="s">
        <v>1300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M25"/>
  <sheetViews>
    <sheetView workbookViewId="0"/>
  </sheetViews>
  <sheetFormatPr defaultColWidth="14.42578125" defaultRowHeight="15" customHeight="1"/>
  <cols>
    <col min="1" max="1" width="10.140625" style="259" customWidth="1"/>
    <col min="2" max="2" width="12.5703125" style="259" customWidth="1"/>
    <col min="3" max="3" width="16.85546875" style="259" customWidth="1"/>
    <col min="4" max="5" width="30.42578125" style="259" customWidth="1"/>
    <col min="6" max="6" width="22" style="259" customWidth="1"/>
    <col min="7" max="7" width="27.85546875" style="259" customWidth="1"/>
    <col min="8" max="8" width="14.140625" style="259" customWidth="1"/>
    <col min="9" max="9" width="12.140625" style="259" customWidth="1"/>
    <col min="10" max="10" width="6.7109375" style="259" customWidth="1"/>
    <col min="11" max="11" width="34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 t="s">
        <v>1065</v>
      </c>
      <c r="D2" s="34" t="s">
        <v>1066</v>
      </c>
      <c r="E2" s="34" t="s">
        <v>1067</v>
      </c>
      <c r="F2" s="34" t="s">
        <v>1068</v>
      </c>
      <c r="G2" s="34" t="s">
        <v>1069</v>
      </c>
      <c r="H2" s="34" t="s">
        <v>1070</v>
      </c>
      <c r="I2" s="34" t="s">
        <v>1071</v>
      </c>
      <c r="J2" s="34" t="s">
        <v>1072</v>
      </c>
      <c r="K2" s="34" t="s">
        <v>1073</v>
      </c>
    </row>
    <row r="3" spans="1:13">
      <c r="A3" s="258" t="s">
        <v>512</v>
      </c>
      <c r="B3" s="16" t="s">
        <v>513</v>
      </c>
      <c r="C3" s="258" t="s">
        <v>490</v>
      </c>
      <c r="D3" s="258" t="s">
        <v>1732</v>
      </c>
      <c r="E3" s="258" t="s">
        <v>56</v>
      </c>
      <c r="F3" s="258" t="s">
        <v>1459</v>
      </c>
      <c r="G3" s="16" t="s">
        <v>57</v>
      </c>
      <c r="H3" s="31" t="s">
        <v>1285</v>
      </c>
      <c r="I3" s="16" t="s">
        <v>1079</v>
      </c>
      <c r="J3" s="16">
        <v>32</v>
      </c>
      <c r="K3" s="16" t="s">
        <v>1733</v>
      </c>
      <c r="M3" s="13" t="str">
        <f>"COMMENT ON COLUMN PG_SILVER."&amp;G3&amp;"."&amp;H3&amp;" IS '"&amp;K3&amp;"';"</f>
        <v>COMMENT ON COLUMN PG_SILVER.IP_PST_ADR.CST_ID IS 'Unique key trên DWH';</v>
      </c>
    </row>
    <row r="4" spans="1:13">
      <c r="A4" s="258" t="s">
        <v>512</v>
      </c>
      <c r="B4" s="16" t="s">
        <v>513</v>
      </c>
      <c r="C4" s="258" t="s">
        <v>490</v>
      </c>
      <c r="D4" s="258" t="s">
        <v>1128</v>
      </c>
      <c r="E4" s="258" t="s">
        <v>56</v>
      </c>
      <c r="F4" s="258" t="s">
        <v>847</v>
      </c>
      <c r="G4" s="16" t="s">
        <v>57</v>
      </c>
      <c r="H4" s="31" t="s">
        <v>253</v>
      </c>
      <c r="I4" s="16" t="s">
        <v>1327</v>
      </c>
      <c r="J4" s="16">
        <v>20</v>
      </c>
      <c r="K4" s="16" t="s">
        <v>846</v>
      </c>
      <c r="M4" s="13" t="str">
        <f>"COMMENT ON COLUMN PG_SILVER."&amp;G4&amp;"."&amp;H4&amp;" IS '"&amp;K4&amp;"';"</f>
        <v>COMMENT ON COLUMN PG_SILVER.IP_PST_ADR.CST_CODE IS 'Mã CIF';</v>
      </c>
    </row>
    <row r="5" spans="1:13">
      <c r="A5" s="16" t="s">
        <v>512</v>
      </c>
      <c r="B5" s="16" t="s">
        <v>513</v>
      </c>
      <c r="C5" s="24"/>
      <c r="D5" s="228" t="s">
        <v>2159</v>
      </c>
      <c r="E5" s="258" t="s">
        <v>56</v>
      </c>
      <c r="F5" s="258" t="s">
        <v>2160</v>
      </c>
      <c r="G5" s="16" t="s">
        <v>57</v>
      </c>
      <c r="H5" s="31" t="s">
        <v>2161</v>
      </c>
      <c r="I5" s="16" t="s">
        <v>1327</v>
      </c>
      <c r="J5" s="16">
        <v>20</v>
      </c>
      <c r="K5" s="16" t="s">
        <v>2155</v>
      </c>
      <c r="M5" s="13" t="str">
        <f>"COMMENT ON COLUMN PG_SILVER."&amp;G5&amp;"."&amp;H5&amp;" IS '"&amp;K5&amp;"';"</f>
        <v>COMMENT ON COLUMN PG_SILVER.IP_PST_ADR.PST_ADR_TP IS 'Loại địa chỉ';</v>
      </c>
    </row>
    <row r="6" spans="1:13">
      <c r="A6" s="16" t="s">
        <v>512</v>
      </c>
      <c r="B6" s="16" t="s">
        <v>513</v>
      </c>
      <c r="C6" s="24"/>
      <c r="D6" s="258" t="s">
        <v>2162</v>
      </c>
      <c r="E6" s="258" t="s">
        <v>56</v>
      </c>
      <c r="F6" s="258" t="s">
        <v>2163</v>
      </c>
      <c r="G6" s="16" t="s">
        <v>57</v>
      </c>
      <c r="H6" s="31" t="s">
        <v>2164</v>
      </c>
      <c r="I6" s="16" t="s">
        <v>1327</v>
      </c>
      <c r="J6" s="16">
        <v>100</v>
      </c>
      <c r="K6" s="16" t="s">
        <v>2156</v>
      </c>
      <c r="M6" s="13" t="str">
        <f>"COMMENT ON COLUMN PG_SILVER."&amp;G6&amp;"."&amp;H6&amp;" IS '"&amp;K6&amp;"';"</f>
        <v>COMMENT ON COLUMN PG_SILVER.IP_PST_ADR.PST_ADR_VAL IS 'Địa chỉ';</v>
      </c>
    </row>
    <row r="7" spans="1:13">
      <c r="A7" s="16"/>
      <c r="B7" s="16" t="s">
        <v>513</v>
      </c>
      <c r="C7" s="24" t="s">
        <v>539</v>
      </c>
      <c r="D7" s="258" t="s">
        <v>1128</v>
      </c>
      <c r="E7" s="258" t="s">
        <v>56</v>
      </c>
      <c r="F7" s="16" t="s">
        <v>792</v>
      </c>
      <c r="G7" s="16" t="s">
        <v>57</v>
      </c>
      <c r="H7" s="16" t="s">
        <v>1379</v>
      </c>
      <c r="I7" s="16" t="s">
        <v>1327</v>
      </c>
      <c r="J7" s="16">
        <v>100</v>
      </c>
      <c r="K7" s="16" t="s">
        <v>2165</v>
      </c>
      <c r="M7" s="13" t="str">
        <f>"COMMENT ON COLUMN PG_SILVER."&amp;G7&amp;"."&amp;H7&amp;" IS '"&amp;K7&amp;"';"</f>
        <v>COMMENT ON COLUMN PG_SILVER.IP_PST_ADR.CTY_NM IS 'Tên quốc gia';</v>
      </c>
    </row>
    <row r="8" spans="1:13">
      <c r="A8" s="16"/>
      <c r="B8" s="16" t="s">
        <v>513</v>
      </c>
      <c r="C8" s="24" t="s">
        <v>590</v>
      </c>
      <c r="D8" s="258" t="s">
        <v>1128</v>
      </c>
      <c r="E8" s="258" t="s">
        <v>56</v>
      </c>
      <c r="F8" s="16" t="s">
        <v>1420</v>
      </c>
      <c r="G8" s="16" t="s">
        <v>57</v>
      </c>
      <c r="H8" s="16" t="s">
        <v>1419</v>
      </c>
      <c r="I8" s="16" t="s">
        <v>1327</v>
      </c>
      <c r="J8" s="16">
        <v>100</v>
      </c>
      <c r="K8" s="16" t="s">
        <v>2166</v>
      </c>
      <c r="M8" s="13" t="str">
        <f>"COMMENT ON COLUMN PG_SILVER."&amp;G8&amp;"."&amp;H8&amp;" IS '"&amp;K8&amp;"';"</f>
        <v>COMMENT ON COLUMN PG_SILVER.IP_PST_ADR.PROV_NM IS 'Tên tỉnh thành phố';</v>
      </c>
    </row>
    <row r="9" spans="1:13">
      <c r="A9" s="16"/>
      <c r="B9" s="16" t="s">
        <v>513</v>
      </c>
      <c r="C9" s="24" t="s">
        <v>589</v>
      </c>
      <c r="D9" s="258" t="s">
        <v>1128</v>
      </c>
      <c r="E9" s="258" t="s">
        <v>56</v>
      </c>
      <c r="F9" s="16" t="s">
        <v>874</v>
      </c>
      <c r="G9" s="16" t="s">
        <v>57</v>
      </c>
      <c r="H9" s="16" t="s">
        <v>1399</v>
      </c>
      <c r="I9" s="16" t="s">
        <v>1327</v>
      </c>
      <c r="J9" s="16">
        <v>100</v>
      </c>
      <c r="K9" s="16" t="s">
        <v>2167</v>
      </c>
      <c r="M9" s="13" t="str">
        <f>"COMMENT ON COLUMN PG_SILVER."&amp;G9&amp;"."&amp;H9&amp;" IS '"&amp;K9&amp;"';"</f>
        <v>COMMENT ON COLUMN PG_SILVER.IP_PST_ADR.STR_NM IS 'Tên đường';</v>
      </c>
    </row>
    <row r="10" spans="1:13">
      <c r="A10" s="16"/>
      <c r="B10" s="16"/>
      <c r="C10" s="16"/>
      <c r="D10" s="16" t="s">
        <v>1736</v>
      </c>
      <c r="E10" s="258" t="s">
        <v>56</v>
      </c>
      <c r="F10" s="16" t="s">
        <v>1290</v>
      </c>
      <c r="G10" s="16" t="s">
        <v>57</v>
      </c>
      <c r="H10" s="16" t="s">
        <v>1291</v>
      </c>
      <c r="I10" s="16" t="s">
        <v>519</v>
      </c>
      <c r="J10" s="16"/>
      <c r="K10" s="16" t="s">
        <v>1292</v>
      </c>
      <c r="M10" s="13" t="str">
        <f>"COMMENT ON COLUMN PG_SILVER."&amp;G10&amp;"."&amp;H10&amp;" IS '"&amp;K10&amp;"';"</f>
        <v>COMMENT ON COLUMN PG_SILVER.IP_PST_ADR.SYS_EFF_DT IS 'Ngày bản ghi lần đầu tiên vào hệ thống';</v>
      </c>
    </row>
    <row r="11" spans="1:13">
      <c r="A11" s="16"/>
      <c r="B11" s="16"/>
      <c r="C11" s="16"/>
      <c r="D11" s="16" t="s">
        <v>1293</v>
      </c>
      <c r="E11" s="258" t="s">
        <v>56</v>
      </c>
      <c r="F11" s="16" t="s">
        <v>1294</v>
      </c>
      <c r="G11" s="16" t="s">
        <v>57</v>
      </c>
      <c r="H11" s="16" t="s">
        <v>1295</v>
      </c>
      <c r="I11" s="16" t="s">
        <v>519</v>
      </c>
      <c r="J11" s="16"/>
      <c r="K11" s="16" t="s">
        <v>1296</v>
      </c>
      <c r="M11" s="13" t="str">
        <f>"COMMENT ON COLUMN PG_SILVER."&amp;G11&amp;"."&amp;H11&amp;" IS '"&amp;K11&amp;"';"</f>
        <v>COMMENT ON COLUMN PG_SILVER.IP_PST_ADR.SYS_EXP_DT IS 'Ngày hết hạn của bản ghi';</v>
      </c>
    </row>
    <row r="12" spans="1:13">
      <c r="A12" s="16"/>
      <c r="B12" s="16"/>
      <c r="C12" s="16"/>
      <c r="D12" s="16" t="s">
        <v>1297</v>
      </c>
      <c r="E12" s="258" t="s">
        <v>56</v>
      </c>
      <c r="F12" s="16" t="s">
        <v>1298</v>
      </c>
      <c r="G12" s="16" t="s">
        <v>57</v>
      </c>
      <c r="H12" s="16" t="s">
        <v>1299</v>
      </c>
      <c r="I12" s="16" t="s">
        <v>519</v>
      </c>
      <c r="J12" s="16"/>
      <c r="K12" s="16" t="s">
        <v>1300</v>
      </c>
      <c r="M12" s="13" t="str">
        <f>"COMMENT ON COLUMN PG_SILVER."&amp;G12&amp;"."&amp;H12&amp;" IS '"&amp;K12&amp;"';"</f>
        <v>COMMENT ON COLUMN PG_SILVER.IP_PST_ADR.SYS_UDT_DT IS 'Ngày update dữ liệu gần nhất';</v>
      </c>
    </row>
    <row r="15" spans="1:13">
      <c r="A15" s="34" t="s">
        <v>1058</v>
      </c>
      <c r="B15" s="34" t="s">
        <v>1059</v>
      </c>
      <c r="C15" s="34" t="s">
        <v>1065</v>
      </c>
      <c r="D15" s="34" t="s">
        <v>1066</v>
      </c>
      <c r="E15" s="34" t="s">
        <v>1067</v>
      </c>
      <c r="F15" s="34" t="s">
        <v>1068</v>
      </c>
      <c r="G15" s="34" t="s">
        <v>1069</v>
      </c>
      <c r="H15" s="34" t="s">
        <v>1070</v>
      </c>
      <c r="I15" s="34" t="s">
        <v>1071</v>
      </c>
      <c r="J15" s="34" t="s">
        <v>1072</v>
      </c>
      <c r="K15" s="34" t="s">
        <v>1073</v>
      </c>
    </row>
    <row r="16" spans="1:13">
      <c r="A16" s="258" t="s">
        <v>512</v>
      </c>
      <c r="B16" s="16" t="s">
        <v>513</v>
      </c>
      <c r="C16" s="258" t="s">
        <v>490</v>
      </c>
      <c r="D16" s="258" t="s">
        <v>1732</v>
      </c>
      <c r="E16" s="258" t="s">
        <v>56</v>
      </c>
      <c r="F16" s="258" t="s">
        <v>1459</v>
      </c>
      <c r="G16" s="16" t="s">
        <v>57</v>
      </c>
      <c r="H16" s="31" t="s">
        <v>1285</v>
      </c>
      <c r="I16" s="16" t="s">
        <v>1079</v>
      </c>
      <c r="J16" s="16">
        <v>32</v>
      </c>
      <c r="K16" s="16" t="s">
        <v>1733</v>
      </c>
    </row>
    <row r="17" spans="1:11">
      <c r="A17" s="258" t="s">
        <v>512</v>
      </c>
      <c r="B17" s="16" t="s">
        <v>513</v>
      </c>
      <c r="C17" s="258" t="s">
        <v>490</v>
      </c>
      <c r="D17" s="258" t="s">
        <v>1128</v>
      </c>
      <c r="E17" s="258" t="s">
        <v>56</v>
      </c>
      <c r="F17" s="258" t="s">
        <v>847</v>
      </c>
      <c r="G17" s="16" t="s">
        <v>57</v>
      </c>
      <c r="H17" s="31" t="s">
        <v>253</v>
      </c>
      <c r="I17" s="16" t="s">
        <v>1327</v>
      </c>
      <c r="J17" s="16">
        <v>20</v>
      </c>
      <c r="K17" s="16" t="s">
        <v>846</v>
      </c>
    </row>
    <row r="18" spans="1:11">
      <c r="A18" s="16" t="s">
        <v>512</v>
      </c>
      <c r="B18" s="16" t="s">
        <v>513</v>
      </c>
      <c r="C18" s="24"/>
      <c r="D18" s="228" t="s">
        <v>2168</v>
      </c>
      <c r="E18" s="258" t="s">
        <v>56</v>
      </c>
      <c r="F18" s="258" t="s">
        <v>2160</v>
      </c>
      <c r="G18" s="16" t="s">
        <v>57</v>
      </c>
      <c r="H18" s="31" t="s">
        <v>2161</v>
      </c>
      <c r="I18" s="16" t="s">
        <v>1327</v>
      </c>
      <c r="J18" s="16">
        <v>20</v>
      </c>
      <c r="K18" s="16" t="s">
        <v>2155</v>
      </c>
    </row>
    <row r="19" spans="1:11">
      <c r="A19" s="16" t="s">
        <v>512</v>
      </c>
      <c r="B19" s="16" t="s">
        <v>513</v>
      </c>
      <c r="C19" s="24"/>
      <c r="D19" s="258" t="s">
        <v>2169</v>
      </c>
      <c r="E19" s="258" t="s">
        <v>56</v>
      </c>
      <c r="F19" s="258" t="s">
        <v>2163</v>
      </c>
      <c r="G19" s="16" t="s">
        <v>57</v>
      </c>
      <c r="H19" s="31" t="s">
        <v>2164</v>
      </c>
      <c r="I19" s="16" t="s">
        <v>1327</v>
      </c>
      <c r="J19" s="16">
        <v>100</v>
      </c>
      <c r="K19" s="16" t="s">
        <v>2156</v>
      </c>
    </row>
    <row r="20" spans="1:11">
      <c r="A20" s="16"/>
      <c r="B20" s="16" t="s">
        <v>513</v>
      </c>
      <c r="C20" s="24" t="s">
        <v>576</v>
      </c>
      <c r="D20" s="258" t="s">
        <v>1128</v>
      </c>
      <c r="E20" s="258" t="s">
        <v>56</v>
      </c>
      <c r="F20" s="16" t="s">
        <v>792</v>
      </c>
      <c r="G20" s="16" t="s">
        <v>57</v>
      </c>
      <c r="H20" s="16" t="s">
        <v>1379</v>
      </c>
      <c r="I20" s="16" t="s">
        <v>1327</v>
      </c>
      <c r="J20" s="16">
        <v>100</v>
      </c>
      <c r="K20" s="16" t="s">
        <v>2165</v>
      </c>
    </row>
    <row r="21" spans="1:11">
      <c r="A21" s="16"/>
      <c r="B21" s="16" t="s">
        <v>513</v>
      </c>
      <c r="C21" s="24" t="s">
        <v>575</v>
      </c>
      <c r="D21" s="258" t="s">
        <v>1128</v>
      </c>
      <c r="E21" s="258" t="s">
        <v>56</v>
      </c>
      <c r="F21" s="16" t="s">
        <v>1420</v>
      </c>
      <c r="G21" s="16" t="s">
        <v>57</v>
      </c>
      <c r="H21" s="16" t="s">
        <v>1419</v>
      </c>
      <c r="I21" s="16" t="s">
        <v>1327</v>
      </c>
      <c r="J21" s="16">
        <v>100</v>
      </c>
      <c r="K21" s="16" t="s">
        <v>2166</v>
      </c>
    </row>
    <row r="22" spans="1:11">
      <c r="A22" s="16"/>
      <c r="B22" s="16"/>
      <c r="C22" s="24"/>
      <c r="D22" s="258"/>
      <c r="E22" s="258" t="s">
        <v>56</v>
      </c>
      <c r="F22" s="16" t="s">
        <v>874</v>
      </c>
      <c r="G22" s="16" t="s">
        <v>57</v>
      </c>
      <c r="H22" s="16" t="s">
        <v>1399</v>
      </c>
      <c r="I22" s="16" t="s">
        <v>1327</v>
      </c>
      <c r="J22" s="16">
        <v>100</v>
      </c>
      <c r="K22" s="16" t="s">
        <v>2167</v>
      </c>
    </row>
    <row r="23" spans="1:11">
      <c r="A23" s="16"/>
      <c r="B23" s="16"/>
      <c r="C23" s="16"/>
      <c r="D23" s="16" t="s">
        <v>1736</v>
      </c>
      <c r="E23" s="258" t="s">
        <v>56</v>
      </c>
      <c r="F23" s="16" t="s">
        <v>1290</v>
      </c>
      <c r="G23" s="16" t="s">
        <v>57</v>
      </c>
      <c r="H23" s="16" t="s">
        <v>1291</v>
      </c>
      <c r="I23" s="16" t="s">
        <v>519</v>
      </c>
      <c r="J23" s="16"/>
      <c r="K23" s="16" t="s">
        <v>1292</v>
      </c>
    </row>
    <row r="24" spans="1:11">
      <c r="A24" s="16"/>
      <c r="B24" s="16"/>
      <c r="C24" s="16"/>
      <c r="D24" s="16" t="s">
        <v>1293</v>
      </c>
      <c r="E24" s="258" t="s">
        <v>56</v>
      </c>
      <c r="F24" s="16" t="s">
        <v>1294</v>
      </c>
      <c r="G24" s="16" t="s">
        <v>57</v>
      </c>
      <c r="H24" s="16" t="s">
        <v>1295</v>
      </c>
      <c r="I24" s="16" t="s">
        <v>519</v>
      </c>
      <c r="J24" s="16"/>
      <c r="K24" s="16" t="s">
        <v>1296</v>
      </c>
    </row>
    <row r="25" spans="1:11">
      <c r="A25" s="16"/>
      <c r="B25" s="16"/>
      <c r="C25" s="16"/>
      <c r="D25" s="16" t="s">
        <v>1297</v>
      </c>
      <c r="E25" s="258" t="s">
        <v>56</v>
      </c>
      <c r="F25" s="16" t="s">
        <v>1298</v>
      </c>
      <c r="G25" s="16" t="s">
        <v>57</v>
      </c>
      <c r="H25" s="16" t="s">
        <v>1299</v>
      </c>
      <c r="I25" s="16" t="s">
        <v>519</v>
      </c>
      <c r="J25" s="16"/>
      <c r="K25" s="16" t="s">
        <v>1300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27"/>
  <sheetViews>
    <sheetView workbookViewId="0"/>
  </sheetViews>
  <sheetFormatPr defaultColWidth="14.42578125" defaultRowHeight="15" customHeight="1"/>
  <cols>
    <col min="3" max="3" width="27.140625" style="259" customWidth="1"/>
    <col min="4" max="4" width="30.42578125" style="259" customWidth="1"/>
    <col min="5" max="5" width="34.7109375" style="259" customWidth="1"/>
    <col min="6" max="6" width="29.42578125" style="259" customWidth="1"/>
    <col min="7" max="7" width="16.7109375" style="259" customWidth="1"/>
    <col min="8" max="8" width="18.85546875" style="259" customWidth="1"/>
    <col min="10" max="10" width="6.7109375" style="259" customWidth="1"/>
    <col min="11" max="11" width="40.42578125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16" t="s">
        <v>512</v>
      </c>
      <c r="B3" s="16" t="s">
        <v>2170</v>
      </c>
      <c r="C3" s="281" t="s">
        <v>1212</v>
      </c>
      <c r="D3" s="281" t="s">
        <v>2171</v>
      </c>
      <c r="E3" s="28"/>
      <c r="F3" s="28"/>
      <c r="G3" s="28"/>
      <c r="H3" s="28"/>
      <c r="I3" s="28"/>
      <c r="J3" s="28"/>
      <c r="K3" s="28"/>
    </row>
    <row r="4" spans="1:13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13">
      <c r="A5" s="34" t="s">
        <v>1058</v>
      </c>
      <c r="B5" s="34" t="s">
        <v>1059</v>
      </c>
      <c r="C5" s="34" t="s">
        <v>1065</v>
      </c>
      <c r="D5" s="34" t="s">
        <v>1066</v>
      </c>
      <c r="E5" s="34" t="s">
        <v>1067</v>
      </c>
      <c r="F5" s="34" t="s">
        <v>1068</v>
      </c>
      <c r="G5" s="34" t="s">
        <v>1069</v>
      </c>
      <c r="H5" s="34" t="s">
        <v>1070</v>
      </c>
      <c r="I5" s="34" t="s">
        <v>1071</v>
      </c>
      <c r="J5" s="34" t="s">
        <v>1072</v>
      </c>
      <c r="K5" s="34" t="s">
        <v>1073</v>
      </c>
    </row>
    <row r="6" spans="1:13">
      <c r="A6" s="258" t="s">
        <v>512</v>
      </c>
      <c r="B6" s="16" t="s">
        <v>513</v>
      </c>
      <c r="C6" s="258" t="s">
        <v>490</v>
      </c>
      <c r="D6" s="258" t="s">
        <v>1732</v>
      </c>
      <c r="E6" s="258" t="s">
        <v>29</v>
      </c>
      <c r="F6" s="258" t="s">
        <v>1459</v>
      </c>
      <c r="G6" s="31" t="s">
        <v>30</v>
      </c>
      <c r="H6" s="31" t="s">
        <v>1285</v>
      </c>
      <c r="I6" s="16" t="s">
        <v>1079</v>
      </c>
      <c r="J6" s="16">
        <v>32</v>
      </c>
      <c r="K6" s="16" t="s">
        <v>1733</v>
      </c>
      <c r="M6" s="13" t="str">
        <f>"COMMENT ON COLUMN PG_SILVER."&amp;G6&amp;"."&amp;H6&amp;" IS '"&amp;K6&amp;"';"</f>
        <v>COMMENT ON COLUMN PG_SILVER.IDV_PRFL.CST_ID IS 'Unique key trên DWH';</v>
      </c>
    </row>
    <row r="7" spans="1:13">
      <c r="A7" s="258" t="s">
        <v>512</v>
      </c>
      <c r="B7" s="16" t="s">
        <v>513</v>
      </c>
      <c r="C7" s="258" t="s">
        <v>490</v>
      </c>
      <c r="D7" s="258" t="s">
        <v>1128</v>
      </c>
      <c r="E7" s="258" t="s">
        <v>29</v>
      </c>
      <c r="F7" s="258" t="s">
        <v>847</v>
      </c>
      <c r="G7" s="31" t="s">
        <v>30</v>
      </c>
      <c r="H7" s="31" t="s">
        <v>253</v>
      </c>
      <c r="I7" s="16" t="s">
        <v>1327</v>
      </c>
      <c r="J7" s="16">
        <v>20</v>
      </c>
      <c r="K7" s="16" t="s">
        <v>846</v>
      </c>
      <c r="M7" s="13" t="str">
        <f>"COMMENT ON COLUMN PG_SILVER."&amp;G7&amp;"."&amp;H7&amp;" IS '"&amp;K7&amp;"';"</f>
        <v>COMMENT ON COLUMN PG_SILVER.IDV_PRFL.CST_CODE IS 'Mã CIF';</v>
      </c>
    </row>
    <row r="8" spans="1:13">
      <c r="A8" s="16" t="s">
        <v>512</v>
      </c>
      <c r="B8" s="16" t="s">
        <v>513</v>
      </c>
      <c r="C8" s="24" t="s">
        <v>530</v>
      </c>
      <c r="D8" s="258" t="s">
        <v>1128</v>
      </c>
      <c r="E8" s="258" t="s">
        <v>29</v>
      </c>
      <c r="F8" s="258" t="s">
        <v>775</v>
      </c>
      <c r="G8" s="31" t="s">
        <v>30</v>
      </c>
      <c r="H8" s="126" t="s">
        <v>1397</v>
      </c>
      <c r="I8" s="16" t="s">
        <v>1327</v>
      </c>
      <c r="J8" s="16">
        <v>20</v>
      </c>
      <c r="K8" s="24" t="s">
        <v>773</v>
      </c>
      <c r="M8" s="13" t="str">
        <f>"COMMENT ON COLUMN PG_SILVER."&amp;G8&amp;"."&amp;H8&amp;" IS '"&amp;K8&amp;"';"</f>
        <v>COMMENT ON COLUMN PG_SILVER.IDV_PRFL.CST_LCS_CODE IS 'Trạng thái bản ghi';</v>
      </c>
    </row>
    <row r="9" spans="1:13">
      <c r="A9" s="16" t="s">
        <v>512</v>
      </c>
      <c r="B9" s="16" t="s">
        <v>513</v>
      </c>
      <c r="C9" s="24" t="s">
        <v>531</v>
      </c>
      <c r="D9" s="258" t="s">
        <v>1128</v>
      </c>
      <c r="E9" s="258" t="s">
        <v>29</v>
      </c>
      <c r="F9" s="258" t="s">
        <v>777</v>
      </c>
      <c r="G9" s="31" t="s">
        <v>30</v>
      </c>
      <c r="H9" s="31" t="s">
        <v>1411</v>
      </c>
      <c r="I9" s="16" t="s">
        <v>1327</v>
      </c>
      <c r="J9" s="16">
        <v>20</v>
      </c>
      <c r="K9" s="24" t="s">
        <v>776</v>
      </c>
      <c r="M9" s="13" t="str">
        <f>"COMMENT ON COLUMN PG_SILVER."&amp;G9&amp;"."&amp;H9&amp;" IS '"&amp;K9&amp;"';"</f>
        <v>COMMENT ON COLUMN PG_SILVER.IDV_PRFL.AML_CHK_F IS 'Liên quan tới hệ thống Phòng Chống rửa tiền';</v>
      </c>
    </row>
    <row r="10" spans="1:13">
      <c r="A10" s="16" t="s">
        <v>512</v>
      </c>
      <c r="B10" s="16" t="s">
        <v>513</v>
      </c>
      <c r="C10" s="24" t="s">
        <v>532</v>
      </c>
      <c r="D10" s="258" t="s">
        <v>1128</v>
      </c>
      <c r="E10" s="258" t="s">
        <v>29</v>
      </c>
      <c r="F10" s="258" t="s">
        <v>778</v>
      </c>
      <c r="G10" s="31" t="s">
        <v>30</v>
      </c>
      <c r="H10" s="31" t="s">
        <v>1410</v>
      </c>
      <c r="I10" s="16" t="s">
        <v>1327</v>
      </c>
      <c r="J10" s="16">
        <v>100</v>
      </c>
      <c r="K10" s="24" t="s">
        <v>776</v>
      </c>
      <c r="M10" s="13" t="str">
        <f>"COMMENT ON COLUMN PG_SILVER."&amp;G10&amp;"."&amp;H10&amp;" IS '"&amp;K10&amp;"';"</f>
        <v>COMMENT ON COLUMN PG_SILVER.IDV_PRFL.AML_RSLT IS 'Liên quan tới hệ thống Phòng Chống rửa tiền';</v>
      </c>
    </row>
    <row r="11" spans="1:13">
      <c r="A11" s="16" t="s">
        <v>512</v>
      </c>
      <c r="B11" s="16" t="s">
        <v>513</v>
      </c>
      <c r="C11" s="258" t="s">
        <v>514</v>
      </c>
      <c r="D11" s="258" t="s">
        <v>1128</v>
      </c>
      <c r="E11" s="258" t="s">
        <v>29</v>
      </c>
      <c r="F11" s="258" t="s">
        <v>780</v>
      </c>
      <c r="G11" s="31" t="s">
        <v>30</v>
      </c>
      <c r="H11" s="31" t="s">
        <v>1417</v>
      </c>
      <c r="I11" s="16" t="s">
        <v>1327</v>
      </c>
      <c r="J11" s="16">
        <v>20</v>
      </c>
      <c r="K11" s="24" t="s">
        <v>779</v>
      </c>
      <c r="M11" s="13" t="str">
        <f>"COMMENT ON COLUMN PG_SILVER."&amp;G11&amp;"."&amp;H11&amp;" IS '"&amp;K11&amp;"';"</f>
        <v>COMMENT ON COLUMN PG_SILVER.IDV_PRFL.CST_FNC_ST_CODE IS 'Nhóm nợ khách hàng Core tính';</v>
      </c>
    </row>
    <row r="12" spans="1:13">
      <c r="A12" s="16" t="s">
        <v>512</v>
      </c>
      <c r="B12" s="16" t="s">
        <v>513</v>
      </c>
      <c r="C12" s="24" t="s">
        <v>460</v>
      </c>
      <c r="D12" s="258" t="s">
        <v>1128</v>
      </c>
      <c r="E12" s="258" t="s">
        <v>29</v>
      </c>
      <c r="F12" s="258" t="s">
        <v>750</v>
      </c>
      <c r="G12" s="31" t="s">
        <v>30</v>
      </c>
      <c r="H12" s="31" t="s">
        <v>1358</v>
      </c>
      <c r="I12" s="16" t="s">
        <v>1327</v>
      </c>
      <c r="J12" s="16">
        <v>20</v>
      </c>
      <c r="K12" s="24" t="s">
        <v>786</v>
      </c>
      <c r="M12" s="13" t="str">
        <f>"COMMENT ON COLUMN PG_SILVER."&amp;G12&amp;"."&amp;H12&amp;" IS '"&amp;K12&amp;"';"</f>
        <v>COMMENT ON COLUMN PG_SILVER.IDV_PRFL.OU_CODE IS 'Mã chi nhánh quản lý khách hàng';</v>
      </c>
    </row>
    <row r="13" spans="1:13">
      <c r="A13" s="16" t="s">
        <v>512</v>
      </c>
      <c r="B13" s="16" t="s">
        <v>513</v>
      </c>
      <c r="C13" s="24" t="s">
        <v>542</v>
      </c>
      <c r="D13" s="258" t="s">
        <v>1128</v>
      </c>
      <c r="E13" s="258" t="s">
        <v>29</v>
      </c>
      <c r="F13" s="258" t="s">
        <v>797</v>
      </c>
      <c r="G13" s="31" t="s">
        <v>30</v>
      </c>
      <c r="H13" s="31" t="s">
        <v>1381</v>
      </c>
      <c r="I13" s="16" t="s">
        <v>1327</v>
      </c>
      <c r="J13" s="16">
        <v>20</v>
      </c>
      <c r="K13" s="24" t="s">
        <v>796</v>
      </c>
      <c r="M13" s="13" t="str">
        <f>"COMMENT ON COLUMN PG_SILVER."&amp;G13&amp;"."&amp;H13&amp;" IS '"&amp;K13&amp;"';"</f>
        <v>COMMENT ON COLUMN PG_SILVER.IDV_PRFL.CST_ST_CODE IS 'Trạng thái hiện tại của khách hàng';</v>
      </c>
    </row>
    <row r="14" spans="1:13">
      <c r="A14" s="16" t="s">
        <v>512</v>
      </c>
      <c r="B14" s="16" t="s">
        <v>513</v>
      </c>
      <c r="C14" s="24" t="s">
        <v>550</v>
      </c>
      <c r="D14" s="258" t="s">
        <v>1128</v>
      </c>
      <c r="E14" s="258" t="s">
        <v>29</v>
      </c>
      <c r="F14" s="258" t="s">
        <v>808</v>
      </c>
      <c r="G14" s="31" t="s">
        <v>30</v>
      </c>
      <c r="H14" s="31" t="s">
        <v>1408</v>
      </c>
      <c r="I14" s="16" t="s">
        <v>1327</v>
      </c>
      <c r="J14" s="16">
        <v>20</v>
      </c>
      <c r="K14" s="24" t="s">
        <v>807</v>
      </c>
      <c r="M14" s="13" t="str">
        <f>"COMMENT ON COLUMN PG_SILVER."&amp;G14&amp;"."&amp;H14&amp;" IS '"&amp;K14&amp;"';"</f>
        <v>COMMENT ON COLUMN PG_SILVER.IDV_PRFL.INN_BNKG_F IS 'Dịch vụ Internet banking khách hàng giao tiếp';</v>
      </c>
    </row>
    <row r="15" spans="1:13">
      <c r="A15" s="16" t="s">
        <v>512</v>
      </c>
      <c r="B15" s="16" t="s">
        <v>513</v>
      </c>
      <c r="C15" s="24" t="s">
        <v>552</v>
      </c>
      <c r="D15" s="258" t="s">
        <v>1128</v>
      </c>
      <c r="E15" s="258" t="s">
        <v>29</v>
      </c>
      <c r="F15" s="258" t="s">
        <v>812</v>
      </c>
      <c r="G15" s="31" t="s">
        <v>30</v>
      </c>
      <c r="H15" s="31" t="s">
        <v>1396</v>
      </c>
      <c r="I15" s="16" t="s">
        <v>1327</v>
      </c>
      <c r="J15" s="16">
        <v>20</v>
      </c>
      <c r="K15" s="24" t="s">
        <v>811</v>
      </c>
      <c r="M15" s="13" t="str">
        <f>"COMMENT ON COLUMN PG_SILVER."&amp;G15&amp;"."&amp;H15&amp;" IS '"&amp;K15&amp;"';"</f>
        <v>COMMENT ON COLUMN PG_SILVER.IDV_PRFL.KYC_CNL_CODE IS 'Kênh thực hiện KYC';</v>
      </c>
    </row>
    <row r="16" spans="1:13">
      <c r="A16" s="16" t="s">
        <v>512</v>
      </c>
      <c r="B16" s="16" t="s">
        <v>513</v>
      </c>
      <c r="C16" s="24" t="s">
        <v>553</v>
      </c>
      <c r="D16" s="258" t="s">
        <v>1128</v>
      </c>
      <c r="E16" s="258" t="s">
        <v>29</v>
      </c>
      <c r="F16" s="258" t="s">
        <v>814</v>
      </c>
      <c r="G16" s="31" t="s">
        <v>30</v>
      </c>
      <c r="H16" s="31" t="s">
        <v>1425</v>
      </c>
      <c r="I16" s="16" t="s">
        <v>1327</v>
      </c>
      <c r="J16" s="16">
        <v>40</v>
      </c>
      <c r="K16" s="24" t="s">
        <v>813</v>
      </c>
      <c r="M16" s="13" t="str">
        <f>"COMMENT ON COLUMN PG_SILVER."&amp;G16&amp;"."&amp;H16&amp;" IS '"&amp;K16&amp;"';"</f>
        <v>COMMENT ON COLUMN PG_SILVER.IDV_PRFL.VSS_CODE IS 'Mã bảo hiểm xã hội';</v>
      </c>
    </row>
    <row r="17" spans="1:13">
      <c r="A17" s="16" t="s">
        <v>512</v>
      </c>
      <c r="B17" s="16" t="s">
        <v>513</v>
      </c>
      <c r="C17" s="24" t="s">
        <v>558</v>
      </c>
      <c r="D17" s="258" t="s">
        <v>1128</v>
      </c>
      <c r="E17" s="258" t="s">
        <v>29</v>
      </c>
      <c r="F17" s="258" t="s">
        <v>819</v>
      </c>
      <c r="G17" s="31" t="s">
        <v>30</v>
      </c>
      <c r="H17" s="31" t="s">
        <v>1406</v>
      </c>
      <c r="I17" s="16" t="s">
        <v>1327</v>
      </c>
      <c r="J17" s="16">
        <v>20</v>
      </c>
      <c r="K17" s="24" t="s">
        <v>818</v>
      </c>
      <c r="M17" s="13" t="str">
        <f>"COMMENT ON COLUMN PG_SILVER."&amp;G17&amp;"."&amp;H17&amp;" IS '"&amp;K17&amp;"';"</f>
        <v>COMMENT ON COLUMN PG_SILVER.IDV_PRFL.MBL_BNKG_F IS 'Dịch vụ sử dụng sản phẩm mobile banking';</v>
      </c>
    </row>
    <row r="18" spans="1:13">
      <c r="A18" s="16" t="s">
        <v>512</v>
      </c>
      <c r="B18" s="16" t="s">
        <v>513</v>
      </c>
      <c r="C18" s="24" t="s">
        <v>566</v>
      </c>
      <c r="D18" s="258" t="s">
        <v>1128</v>
      </c>
      <c r="E18" s="258" t="s">
        <v>29</v>
      </c>
      <c r="F18" s="258" t="s">
        <v>835</v>
      </c>
      <c r="G18" s="31" t="s">
        <v>30</v>
      </c>
      <c r="H18" s="31" t="s">
        <v>1386</v>
      </c>
      <c r="I18" s="16" t="s">
        <v>1327</v>
      </c>
      <c r="J18" s="16">
        <v>40</v>
      </c>
      <c r="K18" s="24" t="s">
        <v>834</v>
      </c>
      <c r="M18" s="13" t="str">
        <f>"COMMENT ON COLUMN PG_SILVER."&amp;G18&amp;"."&amp;H18&amp;" IS '"&amp;K18&amp;"';"</f>
        <v>COMMENT ON COLUMN PG_SILVER.IDV_PRFL.CTY_OF_CTZN_CODE IS 'Quốc tịch';</v>
      </c>
    </row>
    <row r="19" spans="1:13">
      <c r="A19" s="16" t="s">
        <v>512</v>
      </c>
      <c r="B19" s="16" t="s">
        <v>513</v>
      </c>
      <c r="C19" s="24" t="s">
        <v>568</v>
      </c>
      <c r="D19" s="258" t="s">
        <v>1128</v>
      </c>
      <c r="E19" s="258" t="s">
        <v>29</v>
      </c>
      <c r="F19" s="258" t="s">
        <v>839</v>
      </c>
      <c r="G19" s="31" t="s">
        <v>30</v>
      </c>
      <c r="H19" s="31" t="s">
        <v>1415</v>
      </c>
      <c r="I19" s="16" t="s">
        <v>1327</v>
      </c>
      <c r="J19" s="16">
        <v>20</v>
      </c>
      <c r="K19" s="24" t="s">
        <v>838</v>
      </c>
      <c r="M19" s="13" t="str">
        <f>"COMMENT ON COLUMN PG_SILVER."&amp;G19&amp;"."&amp;H19&amp;" IS '"&amp;K19&amp;"';"</f>
        <v>COMMENT ON COLUMN PG_SILVER.IDV_PRFL.JNT_LBY_F IS 'Nợ liên đới';</v>
      </c>
    </row>
    <row r="20" spans="1:13">
      <c r="A20" s="16" t="s">
        <v>512</v>
      </c>
      <c r="B20" s="16" t="s">
        <v>513</v>
      </c>
      <c r="C20" s="24" t="s">
        <v>860</v>
      </c>
      <c r="D20" s="258" t="s">
        <v>1128</v>
      </c>
      <c r="E20" s="258" t="s">
        <v>29</v>
      </c>
      <c r="F20" s="258" t="s">
        <v>862</v>
      </c>
      <c r="G20" s="31" t="s">
        <v>30</v>
      </c>
      <c r="H20" s="31" t="s">
        <v>1343</v>
      </c>
      <c r="I20" s="16" t="s">
        <v>1327</v>
      </c>
      <c r="J20" s="16">
        <v>100</v>
      </c>
      <c r="K20" s="24" t="s">
        <v>861</v>
      </c>
      <c r="M20" s="13" t="str">
        <f>"COMMENT ON COLUMN PG_SILVER."&amp;G20&amp;"."&amp;H20&amp;" IS '"&amp;K20&amp;"';"</f>
        <v>COMMENT ON COLUMN PG_SILVER.IDV_PRFL.TAX_IDENTN_NBR IS 'Mã số thuế';</v>
      </c>
    </row>
    <row r="21" spans="1:13">
      <c r="A21" s="16" t="s">
        <v>512</v>
      </c>
      <c r="B21" s="16" t="s">
        <v>513</v>
      </c>
      <c r="C21" s="24" t="s">
        <v>586</v>
      </c>
      <c r="D21" s="258" t="s">
        <v>1128</v>
      </c>
      <c r="E21" s="258" t="s">
        <v>29</v>
      </c>
      <c r="F21" s="258" t="s">
        <v>868</v>
      </c>
      <c r="G21" s="31" t="s">
        <v>30</v>
      </c>
      <c r="H21" s="31" t="s">
        <v>1394</v>
      </c>
      <c r="I21" s="16" t="s">
        <v>1327</v>
      </c>
      <c r="J21" s="16">
        <v>20</v>
      </c>
      <c r="K21" s="24" t="s">
        <v>867</v>
      </c>
      <c r="M21" s="13" t="str">
        <f>"COMMENT ON COLUMN PG_SILVER."&amp;G21&amp;"."&amp;H21&amp;" IS '"&amp;K21&amp;"';"</f>
        <v>COMMENT ON COLUMN PG_SILVER.IDV_PRFL.VIP_F IS 'Đánh dấu khách hàng ưu tiên';</v>
      </c>
    </row>
    <row r="22" spans="1:13">
      <c r="A22" s="16" t="s">
        <v>512</v>
      </c>
      <c r="B22" s="16" t="s">
        <v>513</v>
      </c>
      <c r="C22" s="24" t="s">
        <v>871</v>
      </c>
      <c r="D22" s="258" t="s">
        <v>1128</v>
      </c>
      <c r="E22" s="258" t="s">
        <v>29</v>
      </c>
      <c r="F22" s="258" t="s">
        <v>873</v>
      </c>
      <c r="G22" s="31" t="s">
        <v>30</v>
      </c>
      <c r="H22" s="31" t="s">
        <v>1350</v>
      </c>
      <c r="I22" s="16" t="s">
        <v>1327</v>
      </c>
      <c r="J22" s="16">
        <v>20</v>
      </c>
      <c r="K22" s="24" t="s">
        <v>872</v>
      </c>
      <c r="M22" s="13" t="str">
        <f>"COMMENT ON COLUMN PG_SILVER."&amp;G22&amp;"."&amp;H22&amp;" IS '"&amp;K22&amp;"';"</f>
        <v>COMMENT ON COLUMN PG_SILVER.IDV_PRFL.GND IS 'Giới tính';</v>
      </c>
    </row>
    <row r="23" spans="1:13">
      <c r="A23" s="16" t="s">
        <v>512</v>
      </c>
      <c r="B23" s="16" t="s">
        <v>513</v>
      </c>
      <c r="C23" s="16" t="s">
        <v>541</v>
      </c>
      <c r="D23" s="258" t="s">
        <v>1128</v>
      </c>
      <c r="E23" s="258" t="s">
        <v>29</v>
      </c>
      <c r="F23" s="258" t="s">
        <v>795</v>
      </c>
      <c r="G23" s="31" t="s">
        <v>30</v>
      </c>
      <c r="H23" s="146" t="s">
        <v>1421</v>
      </c>
      <c r="I23" s="16" t="s">
        <v>1327</v>
      </c>
      <c r="J23" s="16">
        <v>20</v>
      </c>
      <c r="K23" s="16" t="s">
        <v>794</v>
      </c>
      <c r="M23" s="13" t="str">
        <f>"COMMENT ON COLUMN PG_SILVER."&amp;G23&amp;"."&amp;H23&amp;" IS '"&amp;K23&amp;"';"</f>
        <v>COMMENT ON COLUMN PG_SILVER.IDV_PRFL.IDY_LV1_CL_CODE IS 'Mã ngành nghê kinh tế cha';</v>
      </c>
    </row>
    <row r="24" spans="1:13">
      <c r="A24" s="16" t="s">
        <v>512</v>
      </c>
      <c r="B24" s="16" t="s">
        <v>513</v>
      </c>
      <c r="C24" s="16" t="s">
        <v>556</v>
      </c>
      <c r="D24" s="258" t="s">
        <v>1128</v>
      </c>
      <c r="E24" s="258" t="s">
        <v>29</v>
      </c>
      <c r="F24" s="258" t="s">
        <v>816</v>
      </c>
      <c r="G24" s="31" t="s">
        <v>30</v>
      </c>
      <c r="H24" s="146" t="s">
        <v>1432</v>
      </c>
      <c r="I24" s="16" t="s">
        <v>1327</v>
      </c>
      <c r="J24" s="16">
        <v>20</v>
      </c>
      <c r="K24" s="16" t="s">
        <v>815</v>
      </c>
      <c r="M24" s="13" t="str">
        <f>"COMMENT ON COLUMN PG_SILVER."&amp;G24&amp;"."&amp;H24&amp;" IS '"&amp;K24&amp;"';"</f>
        <v>COMMENT ON COLUMN PG_SILVER.IDV_PRFL.IDY_LV2_CL_CODE IS 'Ngành nghề kinh tế';</v>
      </c>
    </row>
    <row r="25" spans="1:13">
      <c r="A25" s="16" t="s">
        <v>512</v>
      </c>
      <c r="B25" s="16" t="s">
        <v>513</v>
      </c>
      <c r="C25" s="16"/>
      <c r="D25" s="16" t="s">
        <v>1736</v>
      </c>
      <c r="E25" s="258" t="s">
        <v>29</v>
      </c>
      <c r="F25" s="16" t="s">
        <v>1290</v>
      </c>
      <c r="G25" s="31" t="s">
        <v>30</v>
      </c>
      <c r="H25" s="16" t="s">
        <v>1291</v>
      </c>
      <c r="I25" s="16" t="s">
        <v>519</v>
      </c>
      <c r="J25" s="16"/>
      <c r="K25" s="16" t="s">
        <v>1292</v>
      </c>
      <c r="M25" s="13" t="str">
        <f>"COMMENT ON COLUMN PG_SILVER."&amp;G25&amp;"."&amp;H25&amp;" IS '"&amp;K25&amp;"';"</f>
        <v>COMMENT ON COLUMN PG_SILVER.IDV_PRFL.SYS_EFF_DT IS 'Ngày bản ghi lần đầu tiên vào hệ thống';</v>
      </c>
    </row>
    <row r="26" spans="1:13">
      <c r="A26" s="16" t="s">
        <v>512</v>
      </c>
      <c r="B26" s="16" t="s">
        <v>513</v>
      </c>
      <c r="C26" s="16"/>
      <c r="D26" s="16" t="s">
        <v>1293</v>
      </c>
      <c r="E26" s="258" t="s">
        <v>29</v>
      </c>
      <c r="F26" s="16" t="s">
        <v>1294</v>
      </c>
      <c r="G26" s="31" t="s">
        <v>30</v>
      </c>
      <c r="H26" s="16" t="s">
        <v>1295</v>
      </c>
      <c r="I26" s="16" t="s">
        <v>519</v>
      </c>
      <c r="J26" s="16"/>
      <c r="K26" s="16" t="s">
        <v>1296</v>
      </c>
      <c r="M26" s="13" t="str">
        <f>"COMMENT ON COLUMN PG_SILVER."&amp;G26&amp;"."&amp;H26&amp;" IS '"&amp;K26&amp;"';"</f>
        <v>COMMENT ON COLUMN PG_SILVER.IDV_PRFL.SYS_EXP_DT IS 'Ngày hết hạn của bản ghi';</v>
      </c>
    </row>
    <row r="27" spans="1:13">
      <c r="A27" s="16" t="s">
        <v>512</v>
      </c>
      <c r="B27" s="16" t="s">
        <v>513</v>
      </c>
      <c r="C27" s="16"/>
      <c r="D27" s="16" t="s">
        <v>1297</v>
      </c>
      <c r="E27" s="258" t="s">
        <v>29</v>
      </c>
      <c r="F27" s="16" t="s">
        <v>1298</v>
      </c>
      <c r="G27" s="31" t="s">
        <v>30</v>
      </c>
      <c r="H27" s="16" t="s">
        <v>1299</v>
      </c>
      <c r="I27" s="16" t="s">
        <v>519</v>
      </c>
      <c r="J27" s="16"/>
      <c r="K27" s="16" t="s">
        <v>1300</v>
      </c>
      <c r="M27" s="13" t="str">
        <f>"COMMENT ON COLUMN PG_SILVER."&amp;G27&amp;"."&amp;H27&amp;" IS '"&amp;K27&amp;"';"</f>
        <v>COMMENT ON COLUMN PG_SILVER.IDV_PRFL.SYS_UDT_DT IS 'Ngày update dữ liệu gần nhất';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13"/>
  <sheetViews>
    <sheetView workbookViewId="0"/>
  </sheetViews>
  <sheetFormatPr defaultColWidth="14.42578125" defaultRowHeight="15" customHeight="1"/>
  <cols>
    <col min="3" max="3" width="27.140625" style="259" customWidth="1"/>
    <col min="4" max="4" width="30.42578125" style="259" customWidth="1"/>
    <col min="5" max="5" width="34.7109375" style="259" customWidth="1"/>
    <col min="6" max="6" width="29.42578125" style="259" customWidth="1"/>
    <col min="7" max="7" width="16.7109375" style="259" customWidth="1"/>
    <col min="8" max="8" width="18.85546875" style="259" customWidth="1"/>
    <col min="10" max="10" width="6.7109375" style="259" customWidth="1"/>
    <col min="11" max="11" width="40.42578125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16" t="s">
        <v>512</v>
      </c>
      <c r="B3" s="16" t="s">
        <v>2170</v>
      </c>
      <c r="C3" s="281" t="s">
        <v>1212</v>
      </c>
      <c r="D3" s="281" t="s">
        <v>2171</v>
      </c>
      <c r="E3" s="28"/>
      <c r="F3" s="28"/>
      <c r="G3" s="28"/>
      <c r="H3" s="28"/>
      <c r="I3" s="28"/>
      <c r="J3" s="28"/>
      <c r="K3" s="28"/>
    </row>
    <row r="4" spans="1:13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13">
      <c r="A5" s="309" t="s">
        <v>1058</v>
      </c>
      <c r="B5" s="309" t="s">
        <v>1059</v>
      </c>
      <c r="C5" s="309" t="s">
        <v>1065</v>
      </c>
      <c r="D5" s="309" t="s">
        <v>1066</v>
      </c>
      <c r="E5" s="309" t="s">
        <v>1067</v>
      </c>
      <c r="F5" s="309" t="s">
        <v>1068</v>
      </c>
      <c r="G5" s="309" t="s">
        <v>1069</v>
      </c>
      <c r="H5" s="309" t="s">
        <v>1070</v>
      </c>
      <c r="I5" s="309" t="s">
        <v>1071</v>
      </c>
      <c r="J5" s="309" t="s">
        <v>1072</v>
      </c>
      <c r="K5" s="309" t="s">
        <v>1073</v>
      </c>
    </row>
    <row r="6" spans="1:13">
      <c r="A6" s="16" t="s">
        <v>512</v>
      </c>
      <c r="B6" s="16" t="s">
        <v>513</v>
      </c>
      <c r="C6" s="16" t="s">
        <v>490</v>
      </c>
      <c r="D6" s="16" t="s">
        <v>1732</v>
      </c>
      <c r="E6" s="16" t="s">
        <v>35</v>
      </c>
      <c r="F6" s="16" t="s">
        <v>1459</v>
      </c>
      <c r="G6" s="136" t="s">
        <v>36</v>
      </c>
      <c r="H6" s="136" t="s">
        <v>1285</v>
      </c>
      <c r="I6" s="16" t="s">
        <v>1079</v>
      </c>
      <c r="J6" s="16">
        <v>32</v>
      </c>
      <c r="K6" s="16" t="s">
        <v>1733</v>
      </c>
      <c r="M6" s="13" t="str">
        <f>"COMMENT ON COLUMN PG_SILVER."&amp;G6&amp;"."&amp;H6&amp;" IS '"&amp;K6&amp;"';"</f>
        <v>COMMENT ON COLUMN PG_SILVER.IDV_EMP_ST.CST_ID IS 'Unique key trên DWH';</v>
      </c>
    </row>
    <row r="7" spans="1:13">
      <c r="A7" s="16" t="s">
        <v>512</v>
      </c>
      <c r="B7" s="16" t="s">
        <v>513</v>
      </c>
      <c r="C7" s="16" t="s">
        <v>490</v>
      </c>
      <c r="D7" s="16" t="s">
        <v>1128</v>
      </c>
      <c r="E7" s="16" t="s">
        <v>35</v>
      </c>
      <c r="F7" s="16" t="s">
        <v>847</v>
      </c>
      <c r="G7" s="136" t="s">
        <v>36</v>
      </c>
      <c r="H7" s="136" t="s">
        <v>253</v>
      </c>
      <c r="I7" s="16" t="s">
        <v>1327</v>
      </c>
      <c r="J7" s="16">
        <v>20</v>
      </c>
      <c r="K7" s="16" t="s">
        <v>846</v>
      </c>
      <c r="M7" s="13" t="str">
        <f>"COMMENT ON COLUMN PG_SILVER."&amp;G7&amp;"."&amp;H7&amp;" IS '"&amp;K7&amp;"';"</f>
        <v>COMMENT ON COLUMN PG_SILVER.IDV_EMP_ST.CST_CODE IS 'Mã CIF';</v>
      </c>
    </row>
    <row r="8" spans="1:13">
      <c r="A8" s="16" t="s">
        <v>512</v>
      </c>
      <c r="B8" s="16" t="s">
        <v>513</v>
      </c>
      <c r="C8" s="16" t="s">
        <v>544</v>
      </c>
      <c r="D8" s="16" t="s">
        <v>1128</v>
      </c>
      <c r="E8" s="16" t="s">
        <v>35</v>
      </c>
      <c r="F8" s="311" t="s">
        <v>802</v>
      </c>
      <c r="G8" s="136" t="s">
        <v>36</v>
      </c>
      <c r="H8" s="136" t="s">
        <v>1413</v>
      </c>
      <c r="I8" s="16" t="s">
        <v>1327</v>
      </c>
      <c r="J8" s="16">
        <v>20</v>
      </c>
      <c r="K8" s="24" t="s">
        <v>1382</v>
      </c>
      <c r="M8" s="13" t="str">
        <f>"COMMENT ON COLUMN PG_SILVER."&amp;G8&amp;"."&amp;H8&amp;" IS '"&amp;K8&amp;"';"</f>
        <v>COMMENT ON COLUMN PG_SILVER.IDV_EMP_ST.IDV_EMP_ST_CODE IS 'Trạng thái khách hàng';</v>
      </c>
    </row>
    <row r="9" spans="1:13">
      <c r="A9" s="16" t="s">
        <v>512</v>
      </c>
      <c r="B9" s="16" t="s">
        <v>513</v>
      </c>
      <c r="C9" s="16" t="s">
        <v>567</v>
      </c>
      <c r="D9" s="16" t="s">
        <v>1128</v>
      </c>
      <c r="E9" s="16" t="s">
        <v>35</v>
      </c>
      <c r="F9" s="311" t="s">
        <v>837</v>
      </c>
      <c r="G9" s="136" t="s">
        <v>36</v>
      </c>
      <c r="H9" s="136" t="s">
        <v>1418</v>
      </c>
      <c r="I9" s="16" t="s">
        <v>1106</v>
      </c>
      <c r="J9" s="16">
        <v>25.5</v>
      </c>
      <c r="K9" s="16" t="s">
        <v>836</v>
      </c>
      <c r="M9" s="13" t="str">
        <f>"COMMENT ON COLUMN PG_SILVER."&amp;G9&amp;"."&amp;H9&amp;" IS '"&amp;K9&amp;"';"</f>
        <v>COMMENT ON COLUMN PG_SILVER.IDV_EMP_ST.ANUL_INCM IS 'Thu nhập theo tháng';</v>
      </c>
    </row>
    <row r="10" spans="1:13">
      <c r="A10" s="16" t="s">
        <v>512</v>
      </c>
      <c r="B10" s="16" t="s">
        <v>513</v>
      </c>
      <c r="C10" s="16" t="s">
        <v>569</v>
      </c>
      <c r="D10" s="16" t="s">
        <v>1128</v>
      </c>
      <c r="E10" s="16" t="s">
        <v>35</v>
      </c>
      <c r="F10" s="311" t="s">
        <v>841</v>
      </c>
      <c r="G10" s="136" t="s">
        <v>36</v>
      </c>
      <c r="H10" s="136" t="s">
        <v>1388</v>
      </c>
      <c r="I10" s="16" t="s">
        <v>1327</v>
      </c>
      <c r="J10" s="16">
        <v>100</v>
      </c>
      <c r="K10" s="16" t="s">
        <v>840</v>
      </c>
      <c r="M10" s="13" t="str">
        <f>"COMMENT ON COLUMN PG_SILVER."&amp;G10&amp;"."&amp;H10&amp;" IS '"&amp;K10&amp;"';"</f>
        <v>COMMENT ON COLUMN PG_SILVER.IDV_EMP_ST.OCP_CODE IS 'Nghề nghiệp của khách hàng';</v>
      </c>
    </row>
    <row r="11" spans="1:13">
      <c r="A11" s="16" t="s">
        <v>512</v>
      </c>
      <c r="B11" s="16" t="s">
        <v>513</v>
      </c>
      <c r="C11" s="16"/>
      <c r="D11" s="16" t="s">
        <v>1736</v>
      </c>
      <c r="E11" s="16" t="s">
        <v>35</v>
      </c>
      <c r="F11" s="16" t="s">
        <v>1290</v>
      </c>
      <c r="G11" s="136" t="s">
        <v>36</v>
      </c>
      <c r="H11" s="16" t="s">
        <v>1291</v>
      </c>
      <c r="I11" s="16" t="s">
        <v>519</v>
      </c>
      <c r="J11" s="16"/>
      <c r="K11" s="16" t="s">
        <v>1292</v>
      </c>
      <c r="M11" s="13" t="str">
        <f>"COMMENT ON COLUMN PG_SILVER."&amp;G11&amp;"."&amp;H11&amp;" IS '"&amp;K11&amp;"';"</f>
        <v>COMMENT ON COLUMN PG_SILVER.IDV_EMP_ST.SYS_EFF_DT IS 'Ngày bản ghi lần đầu tiên vào hệ thống';</v>
      </c>
    </row>
    <row r="12" spans="1:13">
      <c r="A12" s="16" t="s">
        <v>512</v>
      </c>
      <c r="B12" s="16" t="s">
        <v>513</v>
      </c>
      <c r="C12" s="16"/>
      <c r="D12" s="16" t="s">
        <v>1293</v>
      </c>
      <c r="E12" s="16" t="s">
        <v>35</v>
      </c>
      <c r="F12" s="16" t="s">
        <v>1294</v>
      </c>
      <c r="G12" s="136" t="s">
        <v>36</v>
      </c>
      <c r="H12" s="16" t="s">
        <v>1295</v>
      </c>
      <c r="I12" s="16" t="s">
        <v>519</v>
      </c>
      <c r="J12" s="16"/>
      <c r="K12" s="16" t="s">
        <v>1296</v>
      </c>
      <c r="M12" s="13" t="str">
        <f>"COMMENT ON COLUMN PG_SILVER."&amp;G12&amp;"."&amp;H12&amp;" IS '"&amp;K12&amp;"';"</f>
        <v>COMMENT ON COLUMN PG_SILVER.IDV_EMP_ST.SYS_EXP_DT IS 'Ngày hết hạn của bản ghi';</v>
      </c>
    </row>
    <row r="13" spans="1:13">
      <c r="A13" s="16" t="s">
        <v>512</v>
      </c>
      <c r="B13" s="16" t="s">
        <v>513</v>
      </c>
      <c r="C13" s="16"/>
      <c r="D13" s="16" t="s">
        <v>1297</v>
      </c>
      <c r="E13" s="16" t="s">
        <v>35</v>
      </c>
      <c r="F13" s="16" t="s">
        <v>1298</v>
      </c>
      <c r="G13" s="136" t="s">
        <v>36</v>
      </c>
      <c r="H13" s="16" t="s">
        <v>1299</v>
      </c>
      <c r="I13" s="16" t="s">
        <v>519</v>
      </c>
      <c r="J13" s="16"/>
      <c r="K13" s="16" t="s">
        <v>1300</v>
      </c>
      <c r="M13" s="13" t="str">
        <f>"COMMENT ON COLUMN PG_SILVER."&amp;G13&amp;"."&amp;H13&amp;" IS '"&amp;K13&amp;"';"</f>
        <v>COMMENT ON COLUMN PG_SILVER.IDV_EMP_ST.SYS_UDT_DT IS 'Ngày update dữ liệu gần nhất';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23"/>
  <sheetViews>
    <sheetView workbookViewId="0"/>
  </sheetViews>
  <sheetFormatPr defaultColWidth="14.42578125" defaultRowHeight="15" customHeight="1"/>
  <cols>
    <col min="3" max="3" width="29.42578125" style="259" customWidth="1"/>
    <col min="4" max="4" width="32.140625" style="259" customWidth="1"/>
    <col min="5" max="5" width="34.7109375" style="259" customWidth="1"/>
    <col min="6" max="6" width="29.42578125" style="259" customWidth="1"/>
    <col min="7" max="7" width="16.7109375" style="259" customWidth="1"/>
    <col min="8" max="8" width="18.85546875" style="259" customWidth="1"/>
    <col min="10" max="10" width="6.7109375" style="259" customWidth="1"/>
    <col min="11" max="11" width="40.42578125" style="259" customWidth="1"/>
  </cols>
  <sheetData>
    <row r="1" spans="1:13">
      <c r="A1" s="34" t="s">
        <v>1206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/>
      <c r="D2" s="34" t="s">
        <v>1060</v>
      </c>
      <c r="E2" s="34"/>
      <c r="F2" s="34"/>
      <c r="G2" s="34"/>
      <c r="H2" s="34"/>
      <c r="I2" s="34"/>
      <c r="J2" s="34"/>
      <c r="K2" s="34"/>
    </row>
    <row r="3" spans="1:13">
      <c r="A3" s="16" t="s">
        <v>512</v>
      </c>
      <c r="B3" s="16" t="s">
        <v>513</v>
      </c>
      <c r="C3" s="281" t="s">
        <v>1212</v>
      </c>
      <c r="D3" s="281" t="s">
        <v>2172</v>
      </c>
      <c r="E3" s="28"/>
      <c r="F3" s="28"/>
      <c r="G3" s="28"/>
      <c r="H3" s="28"/>
      <c r="I3" s="28"/>
      <c r="J3" s="28"/>
      <c r="K3" s="28"/>
    </row>
    <row r="4" spans="1:13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13">
      <c r="A5" s="34" t="s">
        <v>1058</v>
      </c>
      <c r="B5" s="34" t="s">
        <v>1059</v>
      </c>
      <c r="C5" s="34" t="s">
        <v>1065</v>
      </c>
      <c r="D5" s="34" t="s">
        <v>1066</v>
      </c>
      <c r="E5" s="34" t="s">
        <v>1067</v>
      </c>
      <c r="F5" s="34" t="s">
        <v>1068</v>
      </c>
      <c r="G5" s="34" t="s">
        <v>1069</v>
      </c>
      <c r="H5" s="34" t="s">
        <v>1070</v>
      </c>
      <c r="I5" s="34" t="s">
        <v>1071</v>
      </c>
      <c r="J5" s="34" t="s">
        <v>1072</v>
      </c>
      <c r="K5" s="34" t="s">
        <v>1073</v>
      </c>
    </row>
    <row r="6" spans="1:13">
      <c r="A6" s="258" t="s">
        <v>512</v>
      </c>
      <c r="B6" s="16" t="s">
        <v>513</v>
      </c>
      <c r="C6" s="258" t="s">
        <v>490</v>
      </c>
      <c r="D6" s="258" t="s">
        <v>1732</v>
      </c>
      <c r="E6" s="258" t="s">
        <v>40</v>
      </c>
      <c r="F6" s="258" t="s">
        <v>1459</v>
      </c>
      <c r="G6" s="31" t="s">
        <v>41</v>
      </c>
      <c r="H6" s="31" t="s">
        <v>1285</v>
      </c>
      <c r="I6" s="16" t="s">
        <v>1079</v>
      </c>
      <c r="J6" s="16">
        <v>32</v>
      </c>
      <c r="K6" s="16" t="s">
        <v>1733</v>
      </c>
      <c r="M6" s="13" t="str">
        <f>"COMMENT ON COLUMN PG_SILVER."&amp;G6&amp;"."&amp;H6&amp;" IS '"&amp;K6&amp;"';"</f>
        <v>COMMENT ON COLUMN PG_SILVER.ORG_PRFL.CST_ID IS 'Unique key trên DWH';</v>
      </c>
    </row>
    <row r="7" spans="1:13">
      <c r="A7" s="258" t="s">
        <v>512</v>
      </c>
      <c r="B7" s="16" t="s">
        <v>513</v>
      </c>
      <c r="C7" s="258" t="s">
        <v>490</v>
      </c>
      <c r="D7" s="258" t="s">
        <v>1128</v>
      </c>
      <c r="E7" s="258" t="s">
        <v>40</v>
      </c>
      <c r="F7" s="258" t="s">
        <v>847</v>
      </c>
      <c r="G7" s="31" t="s">
        <v>41</v>
      </c>
      <c r="H7" s="31" t="s">
        <v>253</v>
      </c>
      <c r="I7" s="16" t="s">
        <v>1327</v>
      </c>
      <c r="J7" s="16">
        <v>20</v>
      </c>
      <c r="K7" s="16" t="s">
        <v>846</v>
      </c>
      <c r="M7" s="13" t="str">
        <f>"COMMENT ON COLUMN PG_SILVER."&amp;G7&amp;"."&amp;H7&amp;" IS '"&amp;K7&amp;"';"</f>
        <v>COMMENT ON COLUMN PG_SILVER.ORG_PRFL.CST_CODE IS 'Mã CIF';</v>
      </c>
    </row>
    <row r="8" spans="1:13">
      <c r="A8" s="258" t="s">
        <v>512</v>
      </c>
      <c r="B8" s="16" t="s">
        <v>513</v>
      </c>
      <c r="C8" s="24" t="s">
        <v>530</v>
      </c>
      <c r="D8" s="258" t="s">
        <v>1128</v>
      </c>
      <c r="E8" s="258" t="s">
        <v>40</v>
      </c>
      <c r="F8" s="258" t="s">
        <v>775</v>
      </c>
      <c r="G8" s="31" t="s">
        <v>41</v>
      </c>
      <c r="H8" s="31" t="s">
        <v>1397</v>
      </c>
      <c r="I8" s="16" t="s">
        <v>1327</v>
      </c>
      <c r="J8" s="16">
        <v>20</v>
      </c>
      <c r="K8" s="24" t="s">
        <v>773</v>
      </c>
      <c r="M8" s="13" t="str">
        <f>"COMMENT ON COLUMN PG_SILVER."&amp;G8&amp;"."&amp;H8&amp;" IS '"&amp;K8&amp;"';"</f>
        <v>COMMENT ON COLUMN PG_SILVER.ORG_PRFL.CST_LCS_CODE IS 'Trạng thái bản ghi';</v>
      </c>
    </row>
    <row r="9" spans="1:13">
      <c r="A9" s="258" t="s">
        <v>512</v>
      </c>
      <c r="B9" s="16" t="s">
        <v>513</v>
      </c>
      <c r="C9" s="258" t="s">
        <v>514</v>
      </c>
      <c r="D9" s="258" t="s">
        <v>1128</v>
      </c>
      <c r="E9" s="258" t="s">
        <v>40</v>
      </c>
      <c r="F9" s="258" t="s">
        <v>780</v>
      </c>
      <c r="G9" s="31" t="s">
        <v>41</v>
      </c>
      <c r="H9" s="31" t="s">
        <v>1417</v>
      </c>
      <c r="I9" s="16" t="s">
        <v>1327</v>
      </c>
      <c r="J9" s="16">
        <v>20</v>
      </c>
      <c r="K9" s="24" t="s">
        <v>779</v>
      </c>
      <c r="M9" s="13" t="str">
        <f>"COMMENT ON COLUMN PG_SILVER."&amp;G9&amp;"."&amp;H9&amp;" IS '"&amp;K9&amp;"';"</f>
        <v>COMMENT ON COLUMN PG_SILVER.ORG_PRFL.CST_FNC_ST_CODE IS 'Nhóm nợ khách hàng Core tính';</v>
      </c>
    </row>
    <row r="10" spans="1:13">
      <c r="A10" s="258" t="s">
        <v>512</v>
      </c>
      <c r="B10" s="16" t="s">
        <v>513</v>
      </c>
      <c r="C10" s="24" t="s">
        <v>783</v>
      </c>
      <c r="D10" s="258" t="s">
        <v>1128</v>
      </c>
      <c r="E10" s="258" t="s">
        <v>40</v>
      </c>
      <c r="F10" s="258" t="s">
        <v>785</v>
      </c>
      <c r="G10" s="31" t="s">
        <v>41</v>
      </c>
      <c r="H10" s="31" t="s">
        <v>1443</v>
      </c>
      <c r="I10" s="16" t="s">
        <v>519</v>
      </c>
      <c r="J10" s="16"/>
      <c r="K10" s="24" t="s">
        <v>784</v>
      </c>
      <c r="M10" s="13" t="str">
        <f>"COMMENT ON COLUMN PG_SILVER."&amp;G10&amp;"."&amp;H10&amp;" IS '"&amp;K10&amp;"';"</f>
        <v>COMMENT ON COLUMN PG_SILVER.ORG_PRFL.ESTB_DT IS 'Ngày thành lập doanh nghiệp';</v>
      </c>
    </row>
    <row r="11" spans="1:13">
      <c r="A11" s="258" t="s">
        <v>512</v>
      </c>
      <c r="B11" s="16" t="s">
        <v>513</v>
      </c>
      <c r="C11" s="24" t="s">
        <v>460</v>
      </c>
      <c r="D11" s="258" t="s">
        <v>1128</v>
      </c>
      <c r="E11" s="258" t="s">
        <v>40</v>
      </c>
      <c r="F11" s="258" t="s">
        <v>750</v>
      </c>
      <c r="G11" s="31" t="s">
        <v>41</v>
      </c>
      <c r="H11" s="31" t="s">
        <v>1358</v>
      </c>
      <c r="I11" s="16" t="s">
        <v>1327</v>
      </c>
      <c r="J11" s="16">
        <v>20</v>
      </c>
      <c r="K11" s="24" t="s">
        <v>786</v>
      </c>
      <c r="M11" s="13" t="str">
        <f>"COMMENT ON COLUMN PG_SILVER."&amp;G11&amp;"."&amp;H11&amp;" IS '"&amp;K11&amp;"';"</f>
        <v>COMMENT ON COLUMN PG_SILVER.ORG_PRFL.OU_CODE IS 'Mã chi nhánh quản lý khách hàng';</v>
      </c>
    </row>
    <row r="12" spans="1:13">
      <c r="A12" s="258" t="s">
        <v>512</v>
      </c>
      <c r="B12" s="16" t="s">
        <v>513</v>
      </c>
      <c r="C12" s="24" t="s">
        <v>542</v>
      </c>
      <c r="D12" s="258" t="s">
        <v>1128</v>
      </c>
      <c r="E12" s="258" t="s">
        <v>40</v>
      </c>
      <c r="F12" s="258" t="s">
        <v>797</v>
      </c>
      <c r="G12" s="31" t="s">
        <v>41</v>
      </c>
      <c r="H12" s="31" t="s">
        <v>1381</v>
      </c>
      <c r="I12" s="16" t="s">
        <v>1327</v>
      </c>
      <c r="J12" s="16">
        <v>20</v>
      </c>
      <c r="K12" s="24" t="s">
        <v>796</v>
      </c>
      <c r="M12" s="13" t="str">
        <f>"COMMENT ON COLUMN PG_SILVER."&amp;G12&amp;"."&amp;H12&amp;" IS '"&amp;K12&amp;"';"</f>
        <v>COMMENT ON COLUMN PG_SILVER.ORG_PRFL.CST_ST_CODE IS 'Trạng thái hiện tại của khách hàng';</v>
      </c>
    </row>
    <row r="13" spans="1:13">
      <c r="A13" s="258" t="s">
        <v>512</v>
      </c>
      <c r="B13" s="16" t="s">
        <v>513</v>
      </c>
      <c r="C13" s="24" t="s">
        <v>549</v>
      </c>
      <c r="D13" s="258" t="s">
        <v>1128</v>
      </c>
      <c r="E13" s="258" t="s">
        <v>40</v>
      </c>
      <c r="F13" s="258" t="s">
        <v>2173</v>
      </c>
      <c r="G13" s="31" t="s">
        <v>41</v>
      </c>
      <c r="H13" s="31" t="s">
        <v>2174</v>
      </c>
      <c r="I13" s="16" t="s">
        <v>1327</v>
      </c>
      <c r="J13" s="16">
        <v>40</v>
      </c>
      <c r="K13" s="24" t="s">
        <v>806</v>
      </c>
      <c r="M13" s="13" t="str">
        <f>"COMMENT ON COLUMN PG_SILVER."&amp;G13&amp;"."&amp;H13&amp;" IS '"&amp;K13&amp;"';"</f>
        <v>COMMENT ON COLUMN PG_SILVER.ORG_PRFL.IDY_CL_CODE IS 'Mã ngành nghề đăng ký kinh doanh ';</v>
      </c>
    </row>
    <row r="14" spans="1:13">
      <c r="A14" s="258" t="s">
        <v>512</v>
      </c>
      <c r="B14" s="16" t="s">
        <v>513</v>
      </c>
      <c r="C14" s="24" t="s">
        <v>550</v>
      </c>
      <c r="D14" s="258" t="s">
        <v>1128</v>
      </c>
      <c r="E14" s="258" t="s">
        <v>40</v>
      </c>
      <c r="F14" s="258" t="s">
        <v>808</v>
      </c>
      <c r="G14" s="31" t="s">
        <v>41</v>
      </c>
      <c r="H14" s="31" t="s">
        <v>1408</v>
      </c>
      <c r="I14" s="16" t="s">
        <v>1327</v>
      </c>
      <c r="J14" s="16">
        <v>20</v>
      </c>
      <c r="K14" s="24" t="s">
        <v>807</v>
      </c>
      <c r="M14" s="13" t="str">
        <f>"COMMENT ON COLUMN PG_SILVER."&amp;G14&amp;"."&amp;H14&amp;" IS '"&amp;K14&amp;"';"</f>
        <v>COMMENT ON COLUMN PG_SILVER.ORG_PRFL.INN_BNKG_F IS 'Dịch vụ Internet banking khách hàng giao tiếp';</v>
      </c>
    </row>
    <row r="15" spans="1:13">
      <c r="A15" s="258" t="s">
        <v>512</v>
      </c>
      <c r="B15" s="16" t="s">
        <v>513</v>
      </c>
      <c r="C15" s="24" t="s">
        <v>558</v>
      </c>
      <c r="D15" s="258" t="s">
        <v>1128</v>
      </c>
      <c r="E15" s="258" t="s">
        <v>40</v>
      </c>
      <c r="F15" s="258" t="s">
        <v>819</v>
      </c>
      <c r="G15" s="31" t="s">
        <v>41</v>
      </c>
      <c r="H15" s="31" t="s">
        <v>1406</v>
      </c>
      <c r="I15" s="16" t="s">
        <v>1327</v>
      </c>
      <c r="J15" s="16">
        <v>20</v>
      </c>
      <c r="K15" s="24" t="s">
        <v>818</v>
      </c>
      <c r="M15" s="13" t="str">
        <f>"COMMENT ON COLUMN PG_SILVER."&amp;G15&amp;"."&amp;H15&amp;" IS '"&amp;K15&amp;"';"</f>
        <v>COMMENT ON COLUMN PG_SILVER.ORG_PRFL.MBL_BNKG_F IS 'Dịch vụ sử dụng sản phẩm mobile banking';</v>
      </c>
    </row>
    <row r="16" spans="1:13">
      <c r="A16" s="258" t="s">
        <v>512</v>
      </c>
      <c r="B16" s="16" t="s">
        <v>513</v>
      </c>
      <c r="C16" s="24" t="s">
        <v>568</v>
      </c>
      <c r="D16" s="258" t="s">
        <v>1128</v>
      </c>
      <c r="E16" s="258" t="s">
        <v>40</v>
      </c>
      <c r="F16" s="258" t="s">
        <v>839</v>
      </c>
      <c r="G16" s="31" t="s">
        <v>41</v>
      </c>
      <c r="H16" s="31" t="s">
        <v>1415</v>
      </c>
      <c r="I16" s="16" t="s">
        <v>1327</v>
      </c>
      <c r="J16" s="16">
        <v>20</v>
      </c>
      <c r="K16" s="24" t="s">
        <v>838</v>
      </c>
      <c r="M16" s="13" t="str">
        <f>"COMMENT ON COLUMN PG_SILVER."&amp;G16&amp;"."&amp;H16&amp;" IS '"&amp;K16&amp;"';"</f>
        <v>COMMENT ON COLUMN PG_SILVER.ORG_PRFL.JNT_LBY_F IS 'Nợ liên đới';</v>
      </c>
    </row>
    <row r="17" spans="1:13">
      <c r="A17" s="258" t="s">
        <v>512</v>
      </c>
      <c r="B17" s="16" t="s">
        <v>513</v>
      </c>
      <c r="C17" s="24" t="s">
        <v>860</v>
      </c>
      <c r="D17" s="258" t="s">
        <v>1128</v>
      </c>
      <c r="E17" s="258" t="s">
        <v>40</v>
      </c>
      <c r="F17" s="258" t="s">
        <v>862</v>
      </c>
      <c r="G17" s="31" t="s">
        <v>41</v>
      </c>
      <c r="H17" s="31" t="s">
        <v>1343</v>
      </c>
      <c r="I17" s="16" t="s">
        <v>1327</v>
      </c>
      <c r="J17" s="16">
        <v>100</v>
      </c>
      <c r="K17" s="24" t="s">
        <v>861</v>
      </c>
      <c r="M17" s="13" t="str">
        <f>"COMMENT ON COLUMN PG_SILVER."&amp;G17&amp;"."&amp;H17&amp;" IS '"&amp;K17&amp;"';"</f>
        <v>COMMENT ON COLUMN PG_SILVER.ORG_PRFL.TAX_IDENTN_NBR IS 'Mã số thuế';</v>
      </c>
    </row>
    <row r="18" spans="1:13" ht="16.5" customHeight="1">
      <c r="A18" s="258" t="s">
        <v>512</v>
      </c>
      <c r="B18" s="16" t="s">
        <v>513</v>
      </c>
      <c r="C18" s="24" t="s">
        <v>586</v>
      </c>
      <c r="D18" s="258" t="s">
        <v>1128</v>
      </c>
      <c r="E18" s="258" t="s">
        <v>40</v>
      </c>
      <c r="F18" s="258" t="s">
        <v>868</v>
      </c>
      <c r="G18" s="31" t="s">
        <v>41</v>
      </c>
      <c r="H18" s="31" t="s">
        <v>1394</v>
      </c>
      <c r="I18" s="16" t="s">
        <v>1327</v>
      </c>
      <c r="J18" s="16">
        <v>20</v>
      </c>
      <c r="K18" s="24" t="s">
        <v>867</v>
      </c>
      <c r="M18" s="13" t="str">
        <f>"COMMENT ON COLUMN PG_SILVER."&amp;G18&amp;"."&amp;H18&amp;" IS '"&amp;K18&amp;"';"</f>
        <v>COMMENT ON COLUMN PG_SILVER.ORG_PRFL.VIP_F IS 'Đánh dấu khách hàng ưu tiên';</v>
      </c>
    </row>
    <row r="19" spans="1:13">
      <c r="A19" s="16" t="s">
        <v>512</v>
      </c>
      <c r="B19" s="16" t="s">
        <v>513</v>
      </c>
      <c r="C19" s="16" t="s">
        <v>541</v>
      </c>
      <c r="D19" s="258" t="s">
        <v>1128</v>
      </c>
      <c r="E19" s="258" t="s">
        <v>40</v>
      </c>
      <c r="F19" s="258" t="s">
        <v>795</v>
      </c>
      <c r="G19" s="31" t="s">
        <v>41</v>
      </c>
      <c r="H19" s="146" t="s">
        <v>1421</v>
      </c>
      <c r="I19" s="16" t="s">
        <v>1327</v>
      </c>
      <c r="J19" s="16">
        <v>20</v>
      </c>
      <c r="K19" s="16" t="s">
        <v>794</v>
      </c>
      <c r="M19" s="13" t="str">
        <f>"COMMENT ON COLUMN PG_SILVER."&amp;G19&amp;"."&amp;H19&amp;" IS '"&amp;K19&amp;"';"</f>
        <v>COMMENT ON COLUMN PG_SILVER.ORG_PRFL.IDY_LV1_CL_CODE IS 'Mã ngành nghê kinh tế cha';</v>
      </c>
    </row>
    <row r="20" spans="1:13">
      <c r="A20" s="16" t="s">
        <v>512</v>
      </c>
      <c r="B20" s="16" t="s">
        <v>513</v>
      </c>
      <c r="C20" s="16" t="s">
        <v>556</v>
      </c>
      <c r="D20" s="258" t="s">
        <v>1128</v>
      </c>
      <c r="E20" s="258" t="s">
        <v>40</v>
      </c>
      <c r="F20" s="258" t="s">
        <v>816</v>
      </c>
      <c r="G20" s="31" t="s">
        <v>41</v>
      </c>
      <c r="H20" s="146" t="s">
        <v>1432</v>
      </c>
      <c r="I20" s="16" t="s">
        <v>1327</v>
      </c>
      <c r="J20" s="16">
        <v>20</v>
      </c>
      <c r="K20" s="16" t="s">
        <v>815</v>
      </c>
      <c r="M20" s="13" t="str">
        <f>"COMMENT ON COLUMN PG_SILVER."&amp;G20&amp;"."&amp;H20&amp;" IS '"&amp;K20&amp;"';"</f>
        <v>COMMENT ON COLUMN PG_SILVER.ORG_PRFL.IDY_LV2_CL_CODE IS 'Ngành nghề kinh tế';</v>
      </c>
    </row>
    <row r="21" spans="1:13">
      <c r="A21" s="16" t="s">
        <v>512</v>
      </c>
      <c r="B21" s="16" t="s">
        <v>513</v>
      </c>
      <c r="C21" s="16"/>
      <c r="D21" s="16" t="s">
        <v>1736</v>
      </c>
      <c r="E21" s="258" t="s">
        <v>40</v>
      </c>
      <c r="F21" s="16" t="s">
        <v>1290</v>
      </c>
      <c r="G21" s="31" t="s">
        <v>41</v>
      </c>
      <c r="H21" s="16" t="s">
        <v>1291</v>
      </c>
      <c r="I21" s="16" t="s">
        <v>519</v>
      </c>
      <c r="J21" s="16"/>
      <c r="K21" s="16" t="s">
        <v>1292</v>
      </c>
      <c r="M21" s="13" t="str">
        <f>"COMMENT ON COLUMN PG_SILVER."&amp;G21&amp;"."&amp;H21&amp;" IS '"&amp;K21&amp;"';"</f>
        <v>COMMENT ON COLUMN PG_SILVER.ORG_PRFL.SYS_EFF_DT IS 'Ngày bản ghi lần đầu tiên vào hệ thống';</v>
      </c>
    </row>
    <row r="22" spans="1:13">
      <c r="A22" s="16" t="s">
        <v>512</v>
      </c>
      <c r="B22" s="16" t="s">
        <v>513</v>
      </c>
      <c r="C22" s="16"/>
      <c r="D22" s="16" t="s">
        <v>1293</v>
      </c>
      <c r="E22" s="258" t="s">
        <v>40</v>
      </c>
      <c r="F22" s="16" t="s">
        <v>1294</v>
      </c>
      <c r="G22" s="31" t="s">
        <v>41</v>
      </c>
      <c r="H22" s="16" t="s">
        <v>1295</v>
      </c>
      <c r="I22" s="16" t="s">
        <v>519</v>
      </c>
      <c r="J22" s="16"/>
      <c r="K22" s="16" t="s">
        <v>1296</v>
      </c>
      <c r="M22" s="13" t="str">
        <f>"COMMENT ON COLUMN PG_SILVER."&amp;G22&amp;"."&amp;H22&amp;" IS '"&amp;K22&amp;"';"</f>
        <v>COMMENT ON COLUMN PG_SILVER.ORG_PRFL.SYS_EXP_DT IS 'Ngày hết hạn của bản ghi';</v>
      </c>
    </row>
    <row r="23" spans="1:13">
      <c r="A23" s="16" t="s">
        <v>512</v>
      </c>
      <c r="B23" s="16" t="s">
        <v>513</v>
      </c>
      <c r="C23" s="16"/>
      <c r="D23" s="16" t="s">
        <v>1297</v>
      </c>
      <c r="E23" s="258" t="s">
        <v>40</v>
      </c>
      <c r="F23" s="16" t="s">
        <v>1298</v>
      </c>
      <c r="G23" s="31" t="s">
        <v>41</v>
      </c>
      <c r="H23" s="16" t="s">
        <v>1299</v>
      </c>
      <c r="I23" s="16" t="s">
        <v>519</v>
      </c>
      <c r="J23" s="16"/>
      <c r="K23" s="16" t="s">
        <v>1300</v>
      </c>
      <c r="M23" s="13" t="str">
        <f>"COMMENT ON COLUMN PG_SILVER."&amp;G23&amp;"."&amp;H23&amp;" IS '"&amp;K23&amp;"';"</f>
        <v>COMMENT ON COLUMN PG_SILVER.ORG_PRFL.SYS_UDT_DT IS 'Ngày update dữ liệu gần nhất';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M7"/>
  <sheetViews>
    <sheetView workbookViewId="0"/>
  </sheetViews>
  <sheetFormatPr defaultColWidth="14.42578125" defaultRowHeight="15" customHeight="1"/>
  <cols>
    <col min="3" max="3" width="29.42578125" style="259" customWidth="1"/>
    <col min="4" max="4" width="38.28515625" style="259" customWidth="1"/>
    <col min="5" max="5" width="34.7109375" style="259" customWidth="1"/>
    <col min="6" max="6" width="29.42578125" style="259" customWidth="1"/>
    <col min="7" max="7" width="16.7109375" style="259" customWidth="1"/>
    <col min="8" max="8" width="18.85546875" style="259" customWidth="1"/>
    <col min="10" max="10" width="6.7109375" style="259" customWidth="1"/>
    <col min="11" max="11" width="40.42578125" style="259" customWidth="1"/>
  </cols>
  <sheetData>
    <row r="1" spans="1:13">
      <c r="A1" s="34" t="s">
        <v>1731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 t="s">
        <v>1065</v>
      </c>
      <c r="D2" s="34" t="s">
        <v>1066</v>
      </c>
      <c r="E2" s="34" t="s">
        <v>1067</v>
      </c>
      <c r="F2" s="34" t="s">
        <v>1068</v>
      </c>
      <c r="G2" s="34" t="s">
        <v>1069</v>
      </c>
      <c r="H2" s="34" t="s">
        <v>1070</v>
      </c>
      <c r="I2" s="34" t="s">
        <v>1071</v>
      </c>
      <c r="J2" s="34" t="s">
        <v>1072</v>
      </c>
      <c r="K2" s="34" t="s">
        <v>1073</v>
      </c>
    </row>
    <row r="3" spans="1:13">
      <c r="A3" s="16" t="s">
        <v>437</v>
      </c>
      <c r="B3" s="16" t="s">
        <v>445</v>
      </c>
      <c r="C3" s="258" t="s">
        <v>490</v>
      </c>
      <c r="D3" s="258" t="s">
        <v>2175</v>
      </c>
      <c r="E3" s="258" t="s">
        <v>98</v>
      </c>
      <c r="F3" s="13" t="s">
        <v>1922</v>
      </c>
      <c r="G3" s="146" t="s">
        <v>99</v>
      </c>
      <c r="H3" s="146" t="s">
        <v>1920</v>
      </c>
      <c r="I3" s="16" t="s">
        <v>1079</v>
      </c>
      <c r="J3" s="16">
        <v>32</v>
      </c>
      <c r="K3" s="16" t="s">
        <v>1733</v>
      </c>
      <c r="M3" s="13" t="str">
        <f>"COMMENT ON COLUMN PG_SILVER."&amp;G3&amp;"."&amp;H3&amp;" IS '"&amp;K3&amp;"';"</f>
        <v>COMMENT ON COLUMN PG_SILVER.PD.PD_ID IS 'Unique key trên DWH';</v>
      </c>
    </row>
    <row r="4" spans="1:13">
      <c r="A4" s="16" t="s">
        <v>437</v>
      </c>
      <c r="B4" s="16" t="s">
        <v>445</v>
      </c>
      <c r="C4" s="258" t="s">
        <v>446</v>
      </c>
      <c r="D4" s="258" t="s">
        <v>1128</v>
      </c>
      <c r="E4" s="258" t="s">
        <v>98</v>
      </c>
      <c r="F4" s="258" t="s">
        <v>691</v>
      </c>
      <c r="G4" s="146" t="s">
        <v>99</v>
      </c>
      <c r="H4" s="146" t="s">
        <v>284</v>
      </c>
      <c r="I4" s="16" t="s">
        <v>1327</v>
      </c>
      <c r="J4" s="16">
        <v>20</v>
      </c>
      <c r="K4" s="258" t="s">
        <v>715</v>
      </c>
      <c r="M4" s="13" t="str">
        <f>"COMMENT ON COLUMN PG_SILVER."&amp;G4&amp;"."&amp;H4&amp;" IS '"&amp;K4&amp;"';"</f>
        <v>COMMENT ON COLUMN PG_SILVER.PD.PD_CODE IS 'Mã sản phẩm';</v>
      </c>
    </row>
    <row r="5" spans="1:13">
      <c r="A5" s="16" t="s">
        <v>437</v>
      </c>
      <c r="B5" s="16" t="s">
        <v>445</v>
      </c>
      <c r="C5" s="258" t="s">
        <v>447</v>
      </c>
      <c r="D5" s="258" t="s">
        <v>1128</v>
      </c>
      <c r="E5" s="258" t="s">
        <v>98</v>
      </c>
      <c r="F5" s="258" t="s">
        <v>733</v>
      </c>
      <c r="G5" s="146" t="s">
        <v>99</v>
      </c>
      <c r="H5" s="146" t="s">
        <v>1726</v>
      </c>
      <c r="I5" s="16" t="s">
        <v>1327</v>
      </c>
      <c r="J5" s="16">
        <v>255</v>
      </c>
      <c r="K5" s="258" t="s">
        <v>732</v>
      </c>
      <c r="M5" s="13" t="str">
        <f>"COMMENT ON COLUMN PG_SILVER."&amp;G5&amp;"."&amp;H5&amp;" IS '"&amp;K5&amp;"';"</f>
        <v>COMMENT ON COLUMN PG_SILVER.PD.PD_NM IS 'Tên sản phẩm';</v>
      </c>
    </row>
    <row r="6" spans="1:13">
      <c r="A6" s="16" t="s">
        <v>437</v>
      </c>
      <c r="B6" s="16"/>
      <c r="C6" s="16"/>
      <c r="D6" s="247" t="s">
        <v>2176</v>
      </c>
      <c r="E6" s="258" t="s">
        <v>98</v>
      </c>
      <c r="F6" s="13" t="s">
        <v>1093</v>
      </c>
      <c r="G6" s="146" t="s">
        <v>99</v>
      </c>
      <c r="H6" s="16" t="s">
        <v>316</v>
      </c>
      <c r="I6" s="16" t="s">
        <v>1327</v>
      </c>
      <c r="J6" s="16">
        <v>20</v>
      </c>
      <c r="K6" s="16" t="s">
        <v>2046</v>
      </c>
      <c r="M6" s="13" t="str">
        <f>"COMMENT ON COLUMN PG_SILVER."&amp;G6&amp;"."&amp;H6&amp;" IS '"&amp;K6&amp;"';"</f>
        <v>COMMENT ON COLUMN PG_SILVER.PD.SRC_STM_CODE IS 'Mã nguồn dữ liệu';</v>
      </c>
    </row>
    <row r="7" spans="1:13">
      <c r="A7" s="16" t="s">
        <v>512</v>
      </c>
      <c r="B7" s="16"/>
      <c r="C7" s="16"/>
      <c r="D7" s="16" t="s">
        <v>1297</v>
      </c>
      <c r="E7" s="258" t="s">
        <v>98</v>
      </c>
      <c r="F7" s="16"/>
      <c r="G7" s="146" t="s">
        <v>99</v>
      </c>
      <c r="H7" s="16" t="s">
        <v>1299</v>
      </c>
      <c r="I7" s="16" t="s">
        <v>519</v>
      </c>
      <c r="J7" s="16"/>
      <c r="K7" s="16" t="s">
        <v>1300</v>
      </c>
      <c r="M7" s="13" t="str">
        <f>"COMMENT ON COLUMN PG_SILVER."&amp;G7&amp;"."&amp;H7&amp;" IS '"&amp;K7&amp;"';"</f>
        <v>COMMENT ON COLUMN PG_SILVER.PD.SYS_UDT_DT IS 'Ngày update dữ liệu gần nhất';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M8"/>
  <sheetViews>
    <sheetView workbookViewId="0"/>
  </sheetViews>
  <sheetFormatPr defaultColWidth="14.42578125" defaultRowHeight="15" customHeight="1"/>
  <cols>
    <col min="3" max="3" width="29.42578125" style="259" customWidth="1"/>
    <col min="4" max="4" width="30.42578125" style="259" customWidth="1"/>
    <col min="5" max="5" width="34.7109375" style="259" customWidth="1"/>
    <col min="6" max="6" width="29.42578125" style="259" customWidth="1"/>
    <col min="7" max="7" width="16.7109375" style="259" customWidth="1"/>
    <col min="8" max="8" width="18.85546875" style="259" customWidth="1"/>
    <col min="10" max="10" width="6.7109375" style="259" customWidth="1"/>
    <col min="11" max="11" width="40.42578125" style="259" customWidth="1"/>
  </cols>
  <sheetData>
    <row r="1" spans="1:13">
      <c r="A1" s="34" t="s">
        <v>1731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 t="s">
        <v>1065</v>
      </c>
      <c r="D2" s="34" t="s">
        <v>1066</v>
      </c>
      <c r="E2" s="34" t="s">
        <v>1067</v>
      </c>
      <c r="F2" s="34" t="s">
        <v>1068</v>
      </c>
      <c r="G2" s="34" t="s">
        <v>1069</v>
      </c>
      <c r="H2" s="34" t="s">
        <v>1070</v>
      </c>
      <c r="I2" s="34" t="s">
        <v>1071</v>
      </c>
      <c r="J2" s="34" t="s">
        <v>1072</v>
      </c>
      <c r="K2" s="34" t="s">
        <v>1073</v>
      </c>
    </row>
    <row r="3" spans="1:13">
      <c r="A3" s="258" t="s">
        <v>512</v>
      </c>
      <c r="B3" s="16" t="s">
        <v>527</v>
      </c>
      <c r="C3" s="258" t="s">
        <v>490</v>
      </c>
      <c r="D3" s="258" t="s">
        <v>2177</v>
      </c>
      <c r="E3" s="258" t="s">
        <v>107</v>
      </c>
      <c r="F3" s="13" t="s">
        <v>1861</v>
      </c>
      <c r="G3" s="146" t="s">
        <v>108</v>
      </c>
      <c r="H3" s="146" t="s">
        <v>1859</v>
      </c>
      <c r="I3" s="16" t="s">
        <v>1079</v>
      </c>
      <c r="J3" s="16">
        <v>32</v>
      </c>
      <c r="K3" s="16" t="s">
        <v>1733</v>
      </c>
      <c r="M3" s="13" t="str">
        <f>"COMMENT ON COLUMN PG_SILVER."&amp;G3&amp;"."&amp;H3&amp;" IS '"&amp;K3&amp;"';"</f>
        <v>COMMENT ON COLUMN PG_SILVER.OU.OU_ID IS 'Unique key trên DWH';</v>
      </c>
    </row>
    <row r="4" spans="1:13">
      <c r="A4" s="258" t="s">
        <v>512</v>
      </c>
      <c r="B4" s="16" t="s">
        <v>527</v>
      </c>
      <c r="C4" s="258" t="s">
        <v>490</v>
      </c>
      <c r="D4" s="258" t="s">
        <v>1128</v>
      </c>
      <c r="E4" s="258" t="s">
        <v>107</v>
      </c>
      <c r="F4" s="258" t="s">
        <v>750</v>
      </c>
      <c r="G4" s="146" t="s">
        <v>108</v>
      </c>
      <c r="H4" s="146" t="s">
        <v>1358</v>
      </c>
      <c r="I4" s="16" t="s">
        <v>1327</v>
      </c>
      <c r="J4" s="16">
        <v>20</v>
      </c>
      <c r="K4" s="258" t="s">
        <v>259</v>
      </c>
      <c r="M4" s="13" t="str">
        <f>"COMMENT ON COLUMN PG_SILVER."&amp;G4&amp;"."&amp;H4&amp;" IS '"&amp;K4&amp;"';"</f>
        <v>COMMENT ON COLUMN PG_SILVER.OU.OU_CODE IS 'Mã chi nhánh';</v>
      </c>
    </row>
    <row r="5" spans="1:13">
      <c r="A5" s="258" t="s">
        <v>512</v>
      </c>
      <c r="B5" s="16" t="s">
        <v>527</v>
      </c>
      <c r="C5" s="258" t="s">
        <v>528</v>
      </c>
      <c r="D5" s="258" t="s">
        <v>1128</v>
      </c>
      <c r="E5" s="258" t="s">
        <v>107</v>
      </c>
      <c r="F5" s="258" t="s">
        <v>770</v>
      </c>
      <c r="G5" s="146" t="s">
        <v>108</v>
      </c>
      <c r="H5" s="146" t="s">
        <v>1697</v>
      </c>
      <c r="I5" s="16" t="s">
        <v>1327</v>
      </c>
      <c r="J5" s="16">
        <v>255</v>
      </c>
      <c r="K5" s="258" t="s">
        <v>769</v>
      </c>
      <c r="M5" s="13" t="str">
        <f>"COMMENT ON COLUMN PG_SILVER."&amp;G5&amp;"."&amp;H5&amp;" IS '"&amp;K5&amp;"';"</f>
        <v>COMMENT ON COLUMN PG_SILVER.OU.OU_NM IS 'Tên chi nhánh';</v>
      </c>
    </row>
    <row r="6" spans="1:13">
      <c r="A6" s="16" t="s">
        <v>512</v>
      </c>
      <c r="B6" s="16"/>
      <c r="C6" s="16"/>
      <c r="D6" s="16" t="s">
        <v>2178</v>
      </c>
      <c r="E6" s="258" t="s">
        <v>107</v>
      </c>
      <c r="F6" s="16" t="s">
        <v>1290</v>
      </c>
      <c r="G6" s="146" t="s">
        <v>108</v>
      </c>
      <c r="H6" s="16" t="s">
        <v>1291</v>
      </c>
      <c r="I6" s="16" t="s">
        <v>519</v>
      </c>
      <c r="J6" s="16"/>
      <c r="K6" s="16" t="s">
        <v>1292</v>
      </c>
      <c r="M6" s="13" t="str">
        <f>"COMMENT ON COLUMN PG_SILVER."&amp;G6&amp;"."&amp;H6&amp;" IS '"&amp;K6&amp;"';"</f>
        <v>COMMENT ON COLUMN PG_SILVER.OU.SYS_EFF_DT IS 'Ngày bản ghi lần đầu tiên vào hệ thống';</v>
      </c>
    </row>
    <row r="7" spans="1:13">
      <c r="A7" s="16" t="s">
        <v>512</v>
      </c>
      <c r="B7" s="16"/>
      <c r="C7" s="16"/>
      <c r="D7" s="16" t="s">
        <v>1293</v>
      </c>
      <c r="E7" s="258" t="s">
        <v>107</v>
      </c>
      <c r="F7" s="16" t="s">
        <v>1294</v>
      </c>
      <c r="G7" s="146" t="s">
        <v>108</v>
      </c>
      <c r="H7" s="16" t="s">
        <v>1295</v>
      </c>
      <c r="I7" s="16" t="s">
        <v>519</v>
      </c>
      <c r="J7" s="16"/>
      <c r="K7" s="16" t="s">
        <v>1296</v>
      </c>
      <c r="M7" s="13" t="str">
        <f>"COMMENT ON COLUMN PG_SILVER."&amp;G7&amp;"."&amp;H7&amp;" IS '"&amp;K7&amp;"';"</f>
        <v>COMMENT ON COLUMN PG_SILVER.OU.SYS_EXP_DT IS 'Ngày hết hạn của bản ghi';</v>
      </c>
    </row>
    <row r="8" spans="1:13">
      <c r="A8" s="16" t="s">
        <v>512</v>
      </c>
      <c r="B8" s="16"/>
      <c r="C8" s="16"/>
      <c r="D8" s="16" t="s">
        <v>1297</v>
      </c>
      <c r="E8" s="258" t="s">
        <v>107</v>
      </c>
      <c r="F8" s="16" t="s">
        <v>1298</v>
      </c>
      <c r="G8" s="146" t="s">
        <v>108</v>
      </c>
      <c r="H8" s="16" t="s">
        <v>1299</v>
      </c>
      <c r="I8" s="16" t="s">
        <v>519</v>
      </c>
      <c r="J8" s="16"/>
      <c r="K8" s="16" t="s">
        <v>1300</v>
      </c>
      <c r="M8" s="13" t="str">
        <f>"COMMENT ON COLUMN PG_SILVER."&amp;G8&amp;"."&amp;H8&amp;" IS '"&amp;K8&amp;"';"</f>
        <v>COMMENT ON COLUMN PG_SILVER.OU.SYS_UDT_DT IS 'Ngày update dữ liệu gần nhất';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8"/>
  <sheetViews>
    <sheetView workbookViewId="0"/>
  </sheetViews>
  <sheetFormatPr defaultColWidth="14.42578125" defaultRowHeight="15" customHeight="1"/>
  <cols>
    <col min="3" max="3" width="29.42578125" style="259" customWidth="1"/>
    <col min="4" max="4" width="30.42578125" style="259" customWidth="1"/>
    <col min="5" max="5" width="34.7109375" style="259" customWidth="1"/>
    <col min="6" max="6" width="29.42578125" style="259" customWidth="1"/>
    <col min="7" max="7" width="16.7109375" style="259" customWidth="1"/>
    <col min="8" max="8" width="18.85546875" style="259" customWidth="1"/>
    <col min="10" max="10" width="6.7109375" style="259" customWidth="1"/>
    <col min="11" max="11" width="40.42578125" style="259" customWidth="1"/>
  </cols>
  <sheetData>
    <row r="1" spans="1:13">
      <c r="A1" s="34" t="s">
        <v>1731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>
      <c r="A2" s="34" t="s">
        <v>1058</v>
      </c>
      <c r="B2" s="34" t="s">
        <v>1059</v>
      </c>
      <c r="C2" s="34" t="s">
        <v>1065</v>
      </c>
      <c r="D2" s="34" t="s">
        <v>1066</v>
      </c>
      <c r="E2" s="34" t="s">
        <v>1067</v>
      </c>
      <c r="F2" s="34" t="s">
        <v>1068</v>
      </c>
      <c r="G2" s="34" t="s">
        <v>1069</v>
      </c>
      <c r="H2" s="34" t="s">
        <v>1070</v>
      </c>
      <c r="I2" s="34" t="s">
        <v>1071</v>
      </c>
      <c r="J2" s="34" t="s">
        <v>1072</v>
      </c>
      <c r="K2" s="34" t="s">
        <v>1073</v>
      </c>
    </row>
    <row r="3" spans="1:13">
      <c r="A3" s="258" t="s">
        <v>512</v>
      </c>
      <c r="B3" s="16" t="s">
        <v>591</v>
      </c>
      <c r="C3" s="258" t="s">
        <v>490</v>
      </c>
      <c r="D3" s="258" t="s">
        <v>2179</v>
      </c>
      <c r="E3" s="258" t="s">
        <v>117</v>
      </c>
      <c r="F3" s="13" t="s">
        <v>2180</v>
      </c>
      <c r="G3" s="146" t="s">
        <v>118</v>
      </c>
      <c r="H3" s="146" t="s">
        <v>2181</v>
      </c>
      <c r="I3" s="16" t="s">
        <v>1079</v>
      </c>
      <c r="J3" s="16">
        <v>32</v>
      </c>
      <c r="K3" s="16" t="s">
        <v>1733</v>
      </c>
      <c r="M3" s="13" t="str">
        <f>"COMMENT ON COLUMN PG_SILVER."&amp;G3&amp;"."&amp;H3&amp;" IS '"&amp;K3&amp;"';"</f>
        <v>COMMENT ON COLUMN PG_SILVER.EMPE.EMPE_ID IS 'Unique key trên DWH';</v>
      </c>
    </row>
    <row r="4" spans="1:13">
      <c r="A4" s="258" t="s">
        <v>512</v>
      </c>
      <c r="B4" s="16" t="s">
        <v>591</v>
      </c>
      <c r="C4" s="258" t="s">
        <v>490</v>
      </c>
      <c r="D4" s="258" t="s">
        <v>1128</v>
      </c>
      <c r="E4" s="258" t="s">
        <v>117</v>
      </c>
      <c r="F4" s="258" t="s">
        <v>1366</v>
      </c>
      <c r="G4" s="146" t="s">
        <v>118</v>
      </c>
      <c r="H4" s="146" t="s">
        <v>1367</v>
      </c>
      <c r="I4" s="16" t="s">
        <v>1327</v>
      </c>
      <c r="J4" s="16">
        <v>20</v>
      </c>
      <c r="K4" s="258" t="s">
        <v>2182</v>
      </c>
      <c r="M4" s="13" t="str">
        <f>"COMMENT ON COLUMN PG_SILVER."&amp;G4&amp;"."&amp;H4&amp;" IS '"&amp;K4&amp;"';"</f>
        <v>COMMENT ON COLUMN PG_SILVER.EMPE.EMPE_CODE IS 'Mã NHÂN VIÊN';</v>
      </c>
    </row>
    <row r="5" spans="1:13">
      <c r="A5" s="258" t="s">
        <v>512</v>
      </c>
      <c r="B5" s="16" t="s">
        <v>591</v>
      </c>
      <c r="C5" s="258" t="s">
        <v>592</v>
      </c>
      <c r="D5" s="258" t="s">
        <v>1128</v>
      </c>
      <c r="E5" s="258" t="s">
        <v>117</v>
      </c>
      <c r="F5" s="258" t="s">
        <v>1720</v>
      </c>
      <c r="G5" s="146" t="s">
        <v>118</v>
      </c>
      <c r="H5" s="146" t="s">
        <v>1719</v>
      </c>
      <c r="I5" s="16" t="s">
        <v>1327</v>
      </c>
      <c r="J5" s="16">
        <v>255</v>
      </c>
      <c r="K5" s="258" t="s">
        <v>2183</v>
      </c>
      <c r="M5" s="13" t="str">
        <f>"COMMENT ON COLUMN PG_SILVER."&amp;G5&amp;"."&amp;H5&amp;" IS '"&amp;K5&amp;"';"</f>
        <v>COMMENT ON COLUMN PG_SILVER.EMPE.EMPE_NM IS 'Tên NHÂN VIÊN';</v>
      </c>
    </row>
    <row r="6" spans="1:13">
      <c r="A6" s="16" t="s">
        <v>512</v>
      </c>
      <c r="B6" s="16"/>
      <c r="C6" s="16"/>
      <c r="D6" s="16" t="s">
        <v>2184</v>
      </c>
      <c r="E6" s="258" t="s">
        <v>117</v>
      </c>
      <c r="F6" s="16" t="s">
        <v>1290</v>
      </c>
      <c r="G6" s="146" t="s">
        <v>118</v>
      </c>
      <c r="H6" s="16" t="s">
        <v>1291</v>
      </c>
      <c r="I6" s="16" t="s">
        <v>519</v>
      </c>
      <c r="J6" s="16"/>
      <c r="K6" s="16" t="s">
        <v>1292</v>
      </c>
      <c r="M6" s="13" t="str">
        <f>"COMMENT ON COLUMN PG_SILVER."&amp;G6&amp;"."&amp;H6&amp;" IS '"&amp;K6&amp;"';"</f>
        <v>COMMENT ON COLUMN PG_SILVER.EMPE.SYS_EFF_DT IS 'Ngày bản ghi lần đầu tiên vào hệ thống';</v>
      </c>
    </row>
    <row r="7" spans="1:13">
      <c r="A7" s="16" t="s">
        <v>512</v>
      </c>
      <c r="B7" s="16"/>
      <c r="C7" s="16"/>
      <c r="D7" s="16" t="s">
        <v>1293</v>
      </c>
      <c r="E7" s="258" t="s">
        <v>117</v>
      </c>
      <c r="F7" s="16" t="s">
        <v>1294</v>
      </c>
      <c r="G7" s="146" t="s">
        <v>118</v>
      </c>
      <c r="H7" s="16" t="s">
        <v>1295</v>
      </c>
      <c r="I7" s="16" t="s">
        <v>519</v>
      </c>
      <c r="J7" s="16"/>
      <c r="K7" s="16" t="s">
        <v>1296</v>
      </c>
      <c r="M7" s="13" t="str">
        <f>"COMMENT ON COLUMN PG_SILVER."&amp;G7&amp;"."&amp;H7&amp;" IS '"&amp;K7&amp;"';"</f>
        <v>COMMENT ON COLUMN PG_SILVER.EMPE.SYS_EXP_DT IS 'Ngày hết hạn của bản ghi';</v>
      </c>
    </row>
    <row r="8" spans="1:13">
      <c r="A8" s="16" t="s">
        <v>512</v>
      </c>
      <c r="B8" s="16"/>
      <c r="C8" s="16"/>
      <c r="D8" s="16" t="s">
        <v>1297</v>
      </c>
      <c r="E8" s="258" t="s">
        <v>117</v>
      </c>
      <c r="F8" s="16" t="s">
        <v>1298</v>
      </c>
      <c r="G8" s="146" t="s">
        <v>118</v>
      </c>
      <c r="H8" s="16" t="s">
        <v>1299</v>
      </c>
      <c r="I8" s="16" t="s">
        <v>519</v>
      </c>
      <c r="J8" s="16"/>
      <c r="K8" s="16" t="s">
        <v>1300</v>
      </c>
      <c r="M8" s="13" t="str">
        <f>"COMMENT ON COLUMN PG_SILVER."&amp;G8&amp;"."&amp;H8&amp;" IS '"&amp;K8&amp;"';"</f>
        <v>COMMENT ON COLUMN PG_SILVER.EMPE.SYS_UDT_DT IS 'Ngày update dữ liệu gần nhất';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minhnq</dc:creator>
  <cp:keywords/>
  <dc:description/>
  <cp:lastModifiedBy/>
  <cp:revision/>
  <dcterms:created xsi:type="dcterms:W3CDTF">2015-06-05T18:17:20Z</dcterms:created>
  <dcterms:modified xsi:type="dcterms:W3CDTF">2026-08-06T06:37:17Z</dcterms:modified>
  <cp:category/>
  <cp:contentStatus/>
</cp:coreProperties>
</file>